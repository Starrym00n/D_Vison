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e13bd3661349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数标定" sheetId="1" r:id="R3c03ac88770342c0"/>
    <x:sheet xmlns:r="http://schemas.openxmlformats.org/officeDocument/2006/relationships" name="图像测量" sheetId="2" r:id="R9ddb39c37a3d4f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"/>
    <x:numFmt numFmtId="201" formatCode="0.00"/>
    <x:numFmt numFmtId="202" formatCode="0.0"/>
    <x:numFmt numFmtId="203" formatCode="0"/>
    <x:numFmt numFmtId="204" formatCode="0.0##"/>
  </x:numFmts>
  <x:fonts count="4">
    <x:font>
      <x:sz val="11"/>
      <x:name val="Carlito"/>
    </x:font>
    <x:font>
      <x:sz val="10"/>
      <x:color rgb="FF24364B"/>
      <x:name val="Microsoft YaHei"/>
    </x:font>
    <x:font>
      <x:b/>
      <x:sz val="16"/>
      <x:color rgb="FF24364B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FF2CC"/>
      </x:patternFill>
    </x:fill>
    <x:fill>
      <x:patternFill patternType="solid">
        <x:fgColor rgb="FFEAF1F8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color rgb="FF9C2323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04712ed6d24656" /><Relationship Type="http://schemas.openxmlformats.org/officeDocument/2006/relationships/theme" Target="/xl/theme/theme1.xml" Id="R0933354ca31c4f09" /><Relationship Type="http://schemas.openxmlformats.org/officeDocument/2006/relationships/sharedStrings" Target="/xl/sharedStrings.xml" Id="R0bad091c113749d7" /><Relationship Type="http://schemas.openxmlformats.org/officeDocument/2006/relationships/worksheet" Target="/xl/worksheets/sheet1.xml" Id="R3c03ac88770342c0" /><Relationship Type="http://schemas.openxmlformats.org/officeDocument/2006/relationships/worksheet" Target="/xl/worksheets/sheet2.xml" Id="R9ddb39c37a3d4f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7c9d499036c405f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4</xdr:row>
      <xdr:rowOff>0</xdr:rowOff>
    </xdr:from>
    <xdr:ext cx="3810000" cy="2857500"/>
    <xdr:pic>
      <xdr:nvPicPr>
        <xdr:cNvPr id="1" name="5009e4da-d9ff-4384-981e-8696910e38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c9d499036c40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2" name="CalibrationParameters" displayName="CalibrationParameters" ref="A5:E42" headerRowCount="1" totalsRowCount="0" totalsRowShown="0">
  <x:tableColumns count="5">
    <x:tableColumn id="1" name="参数 / 分量"/>
    <x:tableColumn id="2" name="源码当前值"/>
    <x:tableColumn id="3" name="建议 / 条件值"/>
    <x:tableColumn id="4" name="单位"/>
    <x:tableColumn id="5" name="结论类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LabSamples" displayName="LabSamples" ref="A29:H50" headerRowCount="1" totalsRowCount="0" totalsRowShown="0">
  <x:tableColumns count="8">
    <x:tableColumn id="1" name="样本区域"/>
    <x:tableColumn id="2" name="通道"/>
    <x:tableColumn id="3" name="最小值"/>
    <x:tableColumn id="4" name="最大值"/>
    <x:tableColumn id="5" name="P05"/>
    <x:tableColumn id="6" name="P95"/>
    <x:tableColumn id="7" name="像素数"/>
    <x:tableColumn id="8" name="采样框 [x0,y0,x1,y1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26d76a353b42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4494cf113534970" /><Relationship Type="http://schemas.openxmlformats.org/officeDocument/2006/relationships/table" Target="/xl/tables/table2.xml" Id="Ra6a3f391c6c240a2" /></Relationships>
</file>

<file path=xl/worksheets/sheet1.xml><?xml version="1.0" encoding="utf-8"?>
<x:worksheet xmlns:x="http://schemas.openxmlformats.org/spreadsheetml/2006/main">
  <x:sheetPr>
    <x:tabColor rgb="FF24364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.5" hidden="0" customWidth="1"/>
    <x:col min="2" max="2" width="11.75" hidden="0" customWidth="1"/>
    <x:col min="3" max="3" width="15" hidden="0" customWidth="1"/>
    <x:col min="4" max="4" width="8.130000114440918" hidden="0" customWidth="1"/>
    <x:col min="5" max="5" width="18" hidden="0" customWidth="1"/>
    <x:col min="6" max="6" width="2.25" hidden="0" customWidth="1"/>
    <x:col min="7" max="7" width="67.5" hidden="0" customWidth="1"/>
    <x:col min="8" max="8" width="1.879999995231628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main.py 图像参数标定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黄色为可改初值，蓝色为公式。Target_Y 由“图像测量”B22 的理想位置确认项控制。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 t="str">
        <x:v>单张叠加 JPEG 的离线估计，尚未板端验证。动态门限保留现值，不视为已标定。</x:v>
      </x:c>
      <x:c r="B4" s="2"/>
      <x:c r="C4" s="2"/>
      <x:c r="D4" s="2"/>
      <x:c r="E4" s="2"/>
      <x:c r="F4" s="2"/>
      <x:c r="G4" s="2"/>
      <x:c r="H4" s="2"/>
    </x:row>
    <x:row r="5" ht="28" customHeight="1">
      <x:c r="A5" s="6" t="str">
        <x:v>参数 / 分量</x:v>
      </x:c>
      <x:c r="B5" s="6" t="str">
        <x:v>源码当前值</x:v>
      </x:c>
      <x:c r="C5" s="6" t="str">
        <x:v>建议 / 条件值</x:v>
      </x:c>
      <x:c r="D5" s="6" t="str">
        <x:v>单位</x:v>
      </x:c>
      <x:c r="E5" s="6" t="str">
        <x:v>结论类型</x:v>
      </x:c>
      <x:c r="F5" s="2"/>
      <x:c r="G5" s="2" t="str">
        <x:v>依据与使用条件</x:v>
      </x:c>
      <x:c r="H5" s="2"/>
    </x:row>
    <x:row r="6" ht="36" customHeight="1">
      <x:c r="A6" s="2" t="str">
        <x:v>W</x:v>
      </x:c>
      <x:c r="B6" s="13" t="n">
        <x:v>320</x:v>
      </x:c>
      <x:c r="C6" s="14" t="n">
        <x:f>'图像测量'!B6</x:f>
        <x:v>320</x:v>
      </x:c>
      <x:c r="D6" s="2" t="str">
        <x:v>px</x:v>
      </x:c>
      <x:c r="E6" s="2" t="str">
        <x:v>图像确定</x:v>
      </x:c>
      <x:c r="F6" s="2"/>
      <x:c r="G6" s="12" t="str">
        <x:v>JPEG 原始宽度，与源码一致。</x:v>
      </x:c>
      <x:c r="H6" s="2"/>
    </x:row>
    <x:row r="7" ht="36" customHeight="1">
      <x:c r="A7" s="2" t="str">
        <x:v>H</x:v>
      </x:c>
      <x:c r="B7" s="13" t="n">
        <x:v>240</x:v>
      </x:c>
      <x:c r="C7" s="14" t="n">
        <x:f>'图像测量'!B7</x:f>
        <x:v>240</x:v>
      </x:c>
      <x:c r="D7" s="2" t="str">
        <x:v>px</x:v>
      </x:c>
      <x:c r="E7" s="2" t="str">
        <x:v>图像确定</x:v>
      </x:c>
      <x:c r="F7" s="2"/>
      <x:c r="G7" s="12" t="str">
        <x:v>JPEG 原始高度，与源码一致。</x:v>
      </x:c>
      <x:c r="H7" s="2"/>
    </x:row>
    <x:row r="8" ht="36" customHeight="1">
      <x:c r="A8" s="2" t="str">
        <x:v>L_MIN</x:v>
      </x:c>
      <x:c r="B8" s="13" t="n">
        <x:v>0</x:v>
      </x:c>
      <x:c r="C8" s="15" t="n">
        <x:v>0</x:v>
      </x:c>
      <x:c r="D8" s="2" t="str">
        <x:v>L</x:v>
      </x:c>
      <x:c r="E8" s="2" t="str">
        <x:v>单图候选</x:v>
      </x:c>
      <x:c r="F8" s="2"/>
      <x:c r="G8" s="12" t="str">
        <x:v>取合法亮度下限 0，保留更暗胶带。</x:v>
      </x:c>
      <x:c r="H8" s="2"/>
    </x:row>
    <x:row r="9" ht="36" customHeight="1">
      <x:c r="A9" s="2" t="str">
        <x:v>L_MAX</x:v>
      </x:c>
      <x:c r="B9" s="13" t="n">
        <x:v>56</x:v>
      </x:c>
      <x:c r="C9" s="14" t="n">
        <x:f>MIN(100,ROUNDUP(MAX('图像测量'!D30,'图像测量'!D33,'图像测量'!D36,'图像测量'!D39)+'图像测量'!B20,0))</x:f>
        <x:v>56</x:v>
      </x:c>
      <x:c r="D9" s="2" t="str">
        <x:v>L</x:v>
      </x:c>
      <x:c r="E9" s="2" t="str">
        <x:v>单图候选</x:v>
      </x:c>
      <x:c r="F9" s="2"/>
      <x:c r="G9" s="12" t="str">
        <x:v>四处目标内部样本极值加余量；收窄色度须用现场多光照样本复核。</x:v>
      </x:c>
      <x:c r="H9" s="2"/>
    </x:row>
    <x:row r="10" ht="36" customHeight="1">
      <x:c r="A10" s="2" t="str">
        <x:v>A_MIN</x:v>
      </x:c>
      <x:c r="B10" s="13" t="n">
        <x:v>-5</x:v>
      </x:c>
      <x:c r="C10" s="14" t="n">
        <x:f>MAX(-128,INT(MIN('图像测量'!C31,'图像测量'!C34,'图像测量'!C37,'图像测量'!C40)-'图像测量'!B21))</x:f>
        <x:v>-5</x:v>
      </x:c>
      <x:c r="D10" s="2" t="str">
        <x:v>a/b</x:v>
      </x:c>
      <x:c r="E10" s="2" t="str">
        <x:v>单图候选</x:v>
      </x:c>
      <x:c r="F10" s="2"/>
      <x:c r="G10" s="12" t="str">
        <x:v>四处目标内部样本极值加余量；收窄色度须用现场多光照样本复核。</x:v>
      </x:c>
      <x:c r="H10" s="2"/>
    </x:row>
    <x:row r="11" ht="36" customHeight="1">
      <x:c r="A11" s="2" t="str">
        <x:v>A_MAX</x:v>
      </x:c>
      <x:c r="B11" s="13" t="n">
        <x:v>14</x:v>
      </x:c>
      <x:c r="C11" s="14" t="n">
        <x:f>MIN(127,ROUNDUP(MAX('图像测量'!D31,'图像测量'!D34,'图像测量'!D37,'图像测量'!D40)+'图像测量'!B21,0))</x:f>
        <x:v>10</x:v>
      </x:c>
      <x:c r="D11" s="2" t="str">
        <x:v>a/b</x:v>
      </x:c>
      <x:c r="E11" s="2" t="str">
        <x:v>单图候选</x:v>
      </x:c>
      <x:c r="F11" s="2"/>
      <x:c r="G11" s="12" t="str">
        <x:v>四处目标内部样本极值加余量；收窄色度须用现场多光照样本复核。</x:v>
      </x:c>
      <x:c r="H11" s="2"/>
    </x:row>
    <x:row r="12" ht="36" customHeight="1">
      <x:c r="A12" s="2" t="str">
        <x:v>B_MIN</x:v>
      </x:c>
      <x:c r="B12" s="13" t="n">
        <x:v>-128</x:v>
      </x:c>
      <x:c r="C12" s="14" t="n">
        <x:f>MAX(-128,INT(MIN('图像测量'!C32,'图像测量'!C35,'图像测量'!C38,'图像测量'!C41)-'图像测量'!B21))</x:f>
        <x:v>-7</x:v>
      </x:c>
      <x:c r="D12" s="2" t="str">
        <x:v>a/b</x:v>
      </x:c>
      <x:c r="E12" s="2" t="str">
        <x:v>单图候选</x:v>
      </x:c>
      <x:c r="F12" s="2"/>
      <x:c r="G12" s="12" t="str">
        <x:v>四处目标内部样本极值加余量；收窄色度须用现场多光照样本复核。</x:v>
      </x:c>
      <x:c r="H12" s="2"/>
    </x:row>
    <x:row r="13" ht="36" customHeight="1">
      <x:c r="A13" s="2" t="str">
        <x:v>B_MAX</x:v>
      </x:c>
      <x:c r="B13" s="13" t="n">
        <x:v>12</x:v>
      </x:c>
      <x:c r="C13" s="14" t="n">
        <x:f>MIN(127,ROUNDUP(MAX('图像测量'!D32,'图像测量'!D35,'图像测量'!D38,'图像测量'!D41)+'图像测量'!B21,0))</x:f>
        <x:v>10</x:v>
      </x:c>
      <x:c r="D13" s="2" t="str">
        <x:v>a/b</x:v>
      </x:c>
      <x:c r="E13" s="2" t="str">
        <x:v>单图候选</x:v>
      </x:c>
      <x:c r="F13" s="2"/>
      <x:c r="G13" s="12" t="str">
        <x:v>四处目标内部样本极值加余量；收窄色度须用现场多光照样本复核。</x:v>
      </x:c>
      <x:c r="H13" s="2"/>
    </x:row>
    <x:row r="14" ht="36" customHeight="1">
      <x:c r="A14" s="2" t="str">
        <x:v>BLUR_KERNEL_SIZE</x:v>
      </x:c>
      <x:c r="B14" s="13" t="n">
        <x:v>5</x:v>
      </x:c>
      <x:c r="C14" s="15" t="n">
        <x:v>5</x:v>
      </x:c>
      <x:c r="D14" s="2" t="str">
        <x:v>px</x:v>
      </x:c>
      <x:c r="E14" s="2" t="str">
        <x:v>保留，待对比</x:v>
      </x:c>
      <x:c r="F14" s="2"/>
      <x:c r="G14" s="12" t="str">
        <x:v>本次离线采用 5×5 近似滤波；核优劣需多帧对比。</x:v>
      </x:c>
      <x:c r="H14" s="2"/>
    </x:row>
    <x:row r="15" ht="36" customHeight="1">
      <x:c r="A15" s="2" t="str">
        <x:v>MORPH_KERNEL_SIZE</x:v>
      </x:c>
      <x:c r="B15" s="13" t="n">
        <x:v>3</x:v>
      </x:c>
      <x:c r="C15" s="15" t="n">
        <x:v>3</x:v>
      </x:c>
      <x:c r="D15" s="2" t="str">
        <x:v>px</x:v>
      </x:c>
      <x:c r="E15" s="2" t="str">
        <x:v>保留，待对比</x:v>
      </x:c>
      <x:c r="F15" s="2"/>
      <x:c r="G15" s="12" t="str">
        <x:v>3×3 核远小于本图约 20 px 的竖线宽度。</x:v>
      </x:c>
      <x:c r="H15" s="2"/>
    </x:row>
    <x:row r="16" ht="36" customHeight="1">
      <x:c r="A16" s="2" t="str">
        <x:v>Mark_trigger_x_ratio</x:v>
      </x:c>
      <x:c r="B16" s="10" t="n">
        <x:v>0.65</x:v>
      </x:c>
      <x:c r="C16" s="16" t="n">
        <x:v>0.65</x:v>
      </x:c>
      <x:c r="D16" s="2" t="str">
        <x:v>比例</x:v>
      </x:c>
      <x:c r="E16" s="2" t="str">
        <x:v>保留，待标定</x:v>
      </x:c>
      <x:c r="F16" s="2"/>
      <x:c r="G16" s="12" t="str">
        <x:v>现中心为 x=208；本图竖线约 x=188，仍在窗口内。触发时机不能由单帧决定。</x:v>
      </x:c>
      <x:c r="H16" s="2"/>
    </x:row>
    <x:row r="17" ht="36" customHeight="1">
      <x:c r="A17" s="2" t="str">
        <x:v>MARK_TRIGGER_HALF_WIDTH</x:v>
      </x:c>
      <x:c r="B17" s="13" t="n">
        <x:v>34</x:v>
      </x:c>
      <x:c r="C17" s="15" t="n">
        <x:v>34</x:v>
      </x:c>
      <x:c r="D17" s="2" t="str">
        <x:v>px</x:v>
      </x:c>
      <x:c r="E17" s="2" t="str">
        <x:v>保留，待动态测</x:v>
      </x:c>
      <x:c r="F17" s="2"/>
      <x:c r="G17" s="12" t="str">
        <x:v>现窗口为 174…242，覆盖本图竖线。需结合车速、帧率验证。</x:v>
      </x:c>
      <x:c r="H17" s="2"/>
    </x:row>
    <x:row r="18" ht="36" customHeight="1">
      <x:c r="A18" s="2" t="str">
        <x:v>Mark_half_w</x:v>
      </x:c>
      <x:c r="B18" s="13" t="n">
        <x:v>34</x:v>
      </x:c>
      <x:c r="C18" s="15" t="n">
        <x:v>34</x:v>
      </x:c>
      <x:c r="D18" s="2" t="str">
        <x:v>px</x:v>
      </x:c>
      <x:c r="E18" s="2" t="str">
        <x:v>未使用</x:v>
      </x:c>
      <x:c r="F18" s="2"/>
      <x:c r="G18" s="12" t="str">
        <x:v>此变量在当前 main.py 后续未被引用，修改不会改变检测。</x:v>
      </x:c>
      <x:c r="H18" s="2"/>
    </x:row>
    <x:row r="19" ht="36" customHeight="1">
      <x:c r="A19" s="2" t="str">
        <x:v>MARK_MIN_AREA</x:v>
      </x:c>
      <x:c r="B19" s="13" t="n">
        <x:v>50</x:v>
      </x:c>
      <x:c r="C19" s="15" t="n">
        <x:v>50</x:v>
      </x:c>
      <x:c r="D19" s="2" t="str">
        <x:v>px²</x:v>
      </x:c>
      <x:c r="E19" s="2" t="str">
        <x:v>保留，待动态测</x:v>
      </x:c>
      <x:c r="F19" s="2"/>
      <x:c r="G19" s="12" t="str">
        <x:v>候选竖线裁剪后包围框约 20×58；不能用大目标单帧确定最小门限。</x:v>
      </x:c>
      <x:c r="H19" s="2"/>
    </x:row>
    <x:row r="20" ht="36" customHeight="1">
      <x:c r="A20" s="2" t="str">
        <x:v>MARK_MIN_PIXELS</x:v>
      </x:c>
      <x:c r="B20" s="13" t="n">
        <x:v>35</x:v>
      </x:c>
      <x:c r="C20" s="15" t="n">
        <x:v>35</x:v>
      </x:c>
      <x:c r="D20" s="2" t="str">
        <x:v>px</x:v>
      </x:c>
      <x:c r="E20" s="2" t="str">
        <x:v>保留，待动态测</x:v>
      </x:c>
      <x:c r="F20" s="2"/>
      <x:c r="G20" s="12" t="str">
        <x:v>候选掩膜竖线约 1132 前景像素，仅为离线近似。</x:v>
      </x:c>
      <x:c r="H20" s="2"/>
    </x:row>
    <x:row r="21" ht="36" customHeight="1">
      <x:c r="A21" s="2" t="str">
        <x:v>MARK_MIN_HEIGHT</x:v>
      </x:c>
      <x:c r="B21" s="13" t="n">
        <x:v>14</x:v>
      </x:c>
      <x:c r="C21" s="15" t="n">
        <x:v>14</x:v>
      </x:c>
      <x:c r="D21" s="2" t="str">
        <x:v>px</x:v>
      </x:c>
      <x:c r="E21" s="2" t="str">
        <x:v>保留，待动态测</x:v>
      </x:c>
      <x:c r="F21" s="2"/>
      <x:c r="G21" s="12" t="str">
        <x:v>候选竖线裁剪后约 58 px，本图满足 14 px 门限。</x:v>
      </x:c>
      <x:c r="H21" s="2"/>
    </x:row>
    <x:row r="22" ht="36" customHeight="1">
      <x:c r="A22" s="2" t="str">
        <x:v>MARK_MAX_WIDTH</x:v>
      </x:c>
      <x:c r="B22" s="13" t="n">
        <x:v>28</x:v>
      </x:c>
      <x:c r="C22" s="15" t="n">
        <x:v>28</x:v>
      </x:c>
      <x:c r="D22" s="2" t="str">
        <x:v>px</x:v>
      </x:c>
      <x:c r="E22" s="2" t="str">
        <x:v>保留，待动态测</x:v>
      </x:c>
      <x:c r="F22" s="2"/>
      <x:c r="G22" s="12" t="str">
        <x:v>本图竖线约 20 px，28 px 留有约 8 px 宽度余量。</x:v>
      </x:c>
      <x:c r="H22" s="2"/>
    </x:row>
    <x:row r="23" ht="36" customHeight="1">
      <x:c r="A23" s="2" t="str">
        <x:v>MARK_MIN_ASPECT_RATIO</x:v>
      </x:c>
      <x:c r="B23" s="10" t="n">
        <x:v>1.8</x:v>
      </x:c>
      <x:c r="C23" s="16" t="n">
        <x:v>1.8</x:v>
      </x:c>
      <x:c r="D23" s="2" t="str">
        <x:v>h/w</x:v>
      </x:c>
      <x:c r="E23" s="2" t="str">
        <x:v>保留，待动态测</x:v>
      </x:c>
      <x:c r="F23" s="2"/>
      <x:c r="G23" s="12" t="str">
        <x:v>候选裁剪后 h/w≈2.9，大于现值 1.8。</x:v>
      </x:c>
      <x:c r="H23" s="2"/>
    </x:row>
    <x:row r="24" ht="36" customHeight="1">
      <x:c r="A24" s="2" t="str">
        <x:v>MAX_JUNCTION_GAP</x:v>
      </x:c>
      <x:c r="B24" s="13" t="n">
        <x:v>12</x:v>
      </x:c>
      <x:c r="C24" s="14" t="n">
        <x:f>$C$34+'图像测量'!B19</x:f>
        <x:v>16</x:v>
      </x:c>
      <x:c r="D24" s="2" t="str">
        <x:v>px</x:v>
      </x:c>
      <x:c r="E24" s="2" t="str">
        <x:v>联动试验初值</x:v>
      </x:c>
      <x:c r="F24" s="2"/>
      <x:c r="G24" s="12" t="str">
        <x:v>与 V_TO_LINE_GAP 一起调整：裁剪距离加 4 px 余量，避免裁得越多反而拒绝交点。</x:v>
      </x:c>
      <x:c r="H24" s="2"/>
    </x:row>
    <x:row r="25" ht="36" customHeight="1">
      <x:c r="A25" s="2" t="str">
        <x:v>JUNCTION_CONFIRM_FRAMES</x:v>
      </x:c>
      <x:c r="B25" s="13" t="n">
        <x:v>3</x:v>
      </x:c>
      <x:c r="C25" s="15" t="n">
        <x:v>3</x:v>
      </x:c>
      <x:c r="D25" s="2" t="str">
        <x:v>帧</x:v>
      </x:c>
      <x:c r="E25" s="2" t="str">
        <x:v>需视频实测</x:v>
      </x:c>
      <x:c r="F25" s="2"/>
      <x:c r="G25" s="12" t="str">
        <x:v>保留 3。需有效 FPS、车速、窗口停留时间及误检记录。</x:v>
      </x:c>
      <x:c r="H25" s="2"/>
    </x:row>
    <x:row r="26" ht="36" customHeight="1">
      <x:c r="A26" s="2" t="str">
        <x:v>JUNCTION_RELEASE_FRAMES</x:v>
      </x:c>
      <x:c r="B26" s="13" t="n">
        <x:v>5</x:v>
      </x:c>
      <x:c r="C26" s="15" t="n">
        <x:v>5</x:v>
      </x:c>
      <x:c r="D26" s="2" t="str">
        <x:v>帧</x:v>
      </x:c>
      <x:c r="E26" s="2" t="str">
        <x:v>需视频实测</x:v>
      </x:c>
      <x:c r="F26" s="2"/>
      <x:c r="G26" s="12" t="str">
        <x:v>保留 5。需相邻地标间隔及窗口清空帧数，单图不能计算。</x:v>
      </x:c>
      <x:c r="H26" s="2"/>
    </x:row>
    <x:row r="27" ht="36" customHeight="1">
      <x:c r="A27" s="2" t="str">
        <x:v>M_ROI_X_RATIO</x:v>
      </x:c>
      <x:c r="B27" s="10" t="n">
        <x:v>0.05</x:v>
      </x:c>
      <x:c r="C27" s="16" t="n">
        <x:v>0.05</x:v>
      </x:c>
      <x:c r="D27" s="2" t="str">
        <x:v>比例</x:v>
      </x:c>
      <x:c r="E27" s="2" t="str">
        <x:v>本图覆盖，保留</x:v>
      </x:c>
      <x:c r="F27" s="2"/>
      <x:c r="G27" s="12" t="str">
        <x:v>主 ROI 左界 16；图中目标横跨该区域。</x:v>
      </x:c>
      <x:c r="H27" s="2"/>
    </x:row>
    <x:row r="28" ht="36" customHeight="1">
      <x:c r="A28" s="2" t="str">
        <x:v>M_ROI_Y_RATIO</x:v>
      </x:c>
      <x:c r="B28" s="10" t="n">
        <x:v>0</x:v>
      </x:c>
      <x:c r="C28" s="16" t="n">
        <x:v>0</x:v>
      </x:c>
      <x:c r="D28" s="2" t="str">
        <x:v>比例</x:v>
      </x:c>
      <x:c r="E28" s="2" t="str">
        <x:v>本图覆盖，保留</x:v>
      </x:c>
      <x:c r="F28" s="2"/>
      <x:c r="G28" s="12" t="str">
        <x:v>保留画面顶部的竖线可见部分。</x:v>
      </x:c>
      <x:c r="H28" s="2"/>
    </x:row>
    <x:row r="29" ht="36" customHeight="1">
      <x:c r="A29" s="2" t="str">
        <x:v>M_ROI_W_RATIO</x:v>
      </x:c>
      <x:c r="B29" s="10" t="n">
        <x:v>0.9</x:v>
      </x:c>
      <x:c r="C29" s="16" t="n">
        <x:v>0.9</x:v>
      </x:c>
      <x:c r="D29" s="2" t="str">
        <x:v>比例</x:v>
      </x:c>
      <x:c r="E29" s="2" t="str">
        <x:v>本图覆盖，保留</x:v>
      </x:c>
      <x:c r="F29" s="2"/>
      <x:c r="G29" s="12" t="str">
        <x:v>主 ROI 宽 288，右边界 304（不含）。</x:v>
      </x:c>
      <x:c r="H29" s="2"/>
    </x:row>
    <x:row r="30" ht="36" customHeight="1">
      <x:c r="A30" s="2" t="str">
        <x:v>M_ROI_H_RATIO</x:v>
      </x:c>
      <x:c r="B30" s="10" t="n">
        <x:v>0.55</x:v>
      </x:c>
      <x:c r="C30" s="16" t="n">
        <x:v>0.55</x:v>
      </x:c>
      <x:c r="D30" s="2" t="str">
        <x:v>比例</x:v>
      </x:c>
      <x:c r="E30" s="2" t="str">
        <x:v>本图覆盖，保留</x:v>
      </x:c>
      <x:c r="F30" s="2"/>
      <x:c r="G30" s="12" t="str">
        <x:v>主 ROI 高 132，本图主要车体位于其下方；极限姿态待测。</x:v>
      </x:c>
      <x:c r="H30" s="2"/>
    </x:row>
    <x:row r="31" ht="36" customHeight="1">
      <x:c r="A31" s="2" t="str">
        <x:v>H_ROI_Y_RATIO</x:v>
      </x:c>
      <x:c r="B31" s="10" t="n">
        <x:v>0.48</x:v>
      </x:c>
      <x:c r="C31" s="16" t="n">
        <x:v>0.48</x:v>
      </x:c>
      <x:c r="D31" s="2" t="str">
        <x:v>比例</x:v>
      </x:c>
      <x:c r="E31" s="2" t="str">
        <x:v>本图覆盖，保留</x:v>
      </x:c>
      <x:c r="F31" s="2"/>
      <x:c r="G31" s="12" t="str">
        <x:v>相对主 ROI 高度：int(132×0.48)=63，不是相对全图高度。</x:v>
      </x:c>
      <x:c r="H31" s="2"/>
    </x:row>
    <x:row r="32" ht="36" customHeight="1">
      <x:c r="A32" s="2" t="str">
        <x:v>H_ROI_H_RATIO</x:v>
      </x:c>
      <x:c r="B32" s="10" t="n">
        <x:v>0.35</x:v>
      </x:c>
      <x:c r="C32" s="16" t="n">
        <x:v>0.35</x:v>
      </x:c>
      <x:c r="D32" s="2" t="str">
        <x:v>比例</x:v>
      </x:c>
      <x:c r="E32" s="2" t="str">
        <x:v>本图覆盖，保留</x:v>
      </x:c>
      <x:c r="F32" s="2"/>
      <x:c r="G32" s="12" t="str">
        <x:v>int(132×0.35)=46，检测行 63…108 覆盖当前横线。</x:v>
      </x:c>
      <x:c r="H32" s="2"/>
    </x:row>
    <x:row r="33" ht="36" customHeight="1">
      <x:c r="A33" s="2" t="str">
        <x:v>MIN_V_ROI_HEIGHT</x:v>
      </x:c>
      <x:c r="B33" s="13" t="n">
        <x:v>24</x:v>
      </x:c>
      <x:c r="C33" s="15" t="n">
        <x:v>24</x:v>
      </x:c>
      <x:c r="D33" s="2" t="str">
        <x:v>px</x:v>
      </x:c>
      <x:c r="E33" s="2" t="str">
        <x:v>保留，待动态测</x:v>
      </x:c>
      <x:c r="F33" s="2"/>
      <x:c r="G33" s="12" t="str">
        <x:v>最小 ROI 高度，与 MARK_MIN_HEIGHT 的色块高度意义不同。</x:v>
      </x:c>
      <x:c r="H33" s="2"/>
    </x:row>
    <x:row r="34" ht="36" customHeight="1">
      <x:c r="A34" s="2" t="str">
        <x:v>V_TO_LINE_GAP</x:v>
      </x:c>
      <x:c r="B34" s="13" t="n">
        <x:v>3</x:v>
      </x:c>
      <x:c r="C34" s="14" t="n">
        <x:f>ROUNDUP(('图像测量'!B12-'图像测量'!B11+1)/2+'图像测量'!B18,0)</x:f>
        <x:v>12</x:v>
      </x:c>
      <x:c r="D34" s="2" t="str">
        <x:v>px</x:v>
      </x:c>
      <x:c r="E34" s="2" t="str">
        <x:v>联动试验初值</x:v>
      </x:c>
      <x:c r="F34" s="2"/>
      <x:c r="G34" s="12" t="str">
        <x:v>可见横线厚约 14 px；半厚 7 加 5 px 余量得到 12，减少横线与竖线粘连。</x:v>
      </x:c>
      <x:c r="H34" s="2"/>
    </x:row>
    <x:row r="35" ht="36" customHeight="1">
      <x:c r="A35" s="2" t="str">
        <x:v>L_min_area</x:v>
      </x:c>
      <x:c r="B35" s="13" t="n">
        <x:v>100</x:v>
      </x:c>
      <x:c r="C35" s="15" t="n">
        <x:v>100</x:v>
      </x:c>
      <x:c r="D35" s="2" t="str">
        <x:v>px²</x:v>
      </x:c>
      <x:c r="E35" s="2" t="str">
        <x:v>保留，待动态测</x:v>
      </x:c>
      <x:c r="F35" s="2"/>
      <x:c r="G35" s="12" t="str">
        <x:v>当前 H ROI 近似掩膜约 3464 前景像素；不能据单帧确定最小面积。</x:v>
      </x:c>
      <x:c r="H35" s="2"/>
    </x:row>
    <x:row r="36" ht="36" customHeight="1">
      <x:c r="A36" s="2" t="str">
        <x:v>L_min_pixels</x:v>
      </x:c>
      <x:c r="B36" s="13" t="n">
        <x:v>80</x:v>
      </x:c>
      <x:c r="C36" s="15" t="n">
        <x:v>80</x:v>
      </x:c>
      <x:c r="D36" s="2" t="str">
        <x:v>px</x:v>
      </x:c>
      <x:c r="E36" s="2" t="str">
        <x:v>保留，待动态测</x:v>
      </x:c>
      <x:c r="F36" s="2"/>
      <x:c r="G36" s="12" t="str">
        <x:v>图中前景充分，现门限 80 本身不显得过高；line:lost 根因尚未确定。</x:v>
      </x:c>
      <x:c r="H36" s="2"/>
    </x:row>
    <x:row r="37" ht="36" customHeight="1">
      <x:c r="A37" s="2" t="str">
        <x:v>L_min_length</x:v>
      </x:c>
      <x:c r="B37" s="13" t="n">
        <x:v>60</x:v>
      </x:c>
      <x:c r="C37" s="15" t="n">
        <x:v>60</x:v>
      </x:c>
      <x:c r="D37" s="2" t="str">
        <x:v>px</x:v>
      </x:c>
      <x:c r="E37" s="2" t="str">
        <x:v>保留，待动态测</x:v>
      </x:c>
      <x:c r="F37" s="2"/>
      <x:c r="G37" s="12" t="str">
        <x:v>实际检查 abs(dx)≥60；本图横线在主 ROI 内贯穿约 288 px。</x:v>
      </x:c>
      <x:c r="H37" s="2"/>
    </x:row>
    <x:row r="38" ht="36" customHeight="1">
      <x:c r="A38" s="2" t="str">
        <x:v>MAX_H_slope</x:v>
      </x:c>
      <x:c r="B38" s="10" t="n">
        <x:v>0.45</x:v>
      </x:c>
      <x:c r="C38" s="16" t="n">
        <x:v>0.45</x:v>
      </x:c>
      <x:c r="D38" s="2" t="str">
        <x:v>dy/dx</x:v>
      </x:c>
      <x:c r="E38" s="2" t="str">
        <x:v>保留，待转弯测</x:v>
      </x:c>
      <x:c r="F38" s="2"/>
      <x:c r="G38" s="12" t="str">
        <x:v>0.45 约对应 ±24.2°；本图近水平不能确定最大容许斜率。</x:v>
      </x:c>
      <x:c r="H38" s="2"/>
    </x:row>
    <x:row r="39" ht="36" customHeight="1">
      <x:c r="A39" s="2" t="str">
        <x:v>BINARY_WHITE_MIN</x:v>
      </x:c>
      <x:c r="B39" s="13" t="n">
        <x:v>200</x:v>
      </x:c>
      <x:c r="C39" s="15" t="n">
        <x:v>200</x:v>
      </x:c>
      <x:c r="D39" s="2" t="str">
        <x:v>灰度</x:v>
      </x:c>
      <x:c r="E39" s="2" t="str">
        <x:v>保持</x:v>
      </x:c>
      <x:c r="F39" s="2"/>
      <x:c r="G39" s="12" t="str">
        <x:v>针对二值掩膜白色前景，不是胶带原图 LAB 阈值。</x:v>
      </x:c>
      <x:c r="H39" s="2"/>
    </x:row>
    <x:row r="40" ht="36" customHeight="1">
      <x:c r="A40" s="2" t="str">
        <x:v>BINARY_WHITE_MAX</x:v>
      </x:c>
      <x:c r="B40" s="13" t="n">
        <x:v>255</x:v>
      </x:c>
      <x:c r="C40" s="15" t="n">
        <x:v>255</x:v>
      </x:c>
      <x:c r="D40" s="2" t="str">
        <x:v>灰度</x:v>
      </x:c>
      <x:c r="E40" s="2" t="str">
        <x:v>保持</x:v>
      </x:c>
      <x:c r="F40" s="2"/>
      <x:c r="G40" s="12" t="str">
        <x:v>与 BINARY_WHITE_MIN 合成 [[200,255]]。</x:v>
      </x:c>
      <x:c r="H40" s="2"/>
    </x:row>
    <x:row r="41" ht="36" customHeight="1">
      <x:c r="A41" s="2" t="str">
        <x:v>Target_Y</x:v>
      </x:c>
      <x:c r="B41" s="17" t="n">
        <x:v>82</x:v>
      </x:c>
      <x:c r="C41" s="11" t="n">
        <x:f>IF('图像测量'!B22="是",ROUND('图像测量'!B8*INT($C$6*$C$16)+'图像测量'!B9,1),B41)</x:f>
        <x:v>82</x:v>
      </x:c>
      <x:c r="D41" s="2" t="str">
        <x:v>px</x:v>
      </x:c>
      <x:c r="E41" s="2" t="str">
        <x:v>有条件标定</x:v>
      </x:c>
      <x:c r="F41" s="2"/>
      <x:c r="G41" s="12" t="str">
        <x:v>照片为理想姿态时可取约 74.6；未确认则保留 82。测量误差约 ±2 px，需板端重新标零。</x:v>
      </x:c>
      <x:c r="H41" s="2"/>
    </x:row>
    <x:row r="42" ht="36" customHeight="1">
      <x:c r="A42" s="2" t="str">
        <x:v>HEADING_SAMPLE_HALF_WIDTH</x:v>
      </x:c>
      <x:c r="B42" s="13" t="n">
        <x:v>60</x:v>
      </x:c>
      <x:c r="C42" s="15" t="n">
        <x:v>60</x:v>
      </x:c>
      <x:c r="D42" s="2" t="str">
        <x:v>px</x:v>
      </x:c>
      <x:c r="E42" s="2" t="str">
        <x:v>保持</x:v>
      </x:c>
      <x:c r="F42" s="2"/>
      <x:c r="G42" s="12" t="str">
        <x:v>当前两个采样点 x=148、268 均处于有效横线范围内。</x:v>
      </x:c>
      <x:c r="H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</x:row>
    <x:row r="48" ht="28" customHeight="1">
      <x:c r="A48" s="6" t="str">
        <x:v>派生量 / 本图估计</x:v>
      </x:c>
      <x:c r="B48" s="6"/>
      <x:c r="C48" s="6" t="str">
        <x:v>计算值</x:v>
      </x:c>
      <x:c r="D48" s="6" t="str">
        <x:v>单位</x:v>
      </x:c>
      <x:c r="E48" s="6" t="str">
        <x:v>类型</x:v>
      </x:c>
      <x:c r="F48" s="2"/>
      <x:c r="G48" s="2"/>
      <x:c r="H48" s="2"/>
    </x:row>
    <x:row r="49" ht="34" customHeight="1">
      <x:c r="A49" s="2" t="str">
        <x:v>main_left</x:v>
      </x:c>
      <x:c r="B49" s="2"/>
      <x:c r="C49" s="14" t="n">
        <x:f>INT($C$6*$C$27)</x:f>
        <x:v>16</x:v>
      </x:c>
      <x:c r="D49" s="2" t="str">
        <x:v>px</x:v>
      </x:c>
      <x:c r="E49" s="2" t="str">
        <x:v>公式计算</x:v>
      </x:c>
      <x:c r="F49" s="2"/>
      <x:c r="G49" s="12" t="str">
        <x:v>主 ROI 左界。</x:v>
      </x:c>
      <x:c r="H49" s="2"/>
    </x:row>
    <x:row r="50" ht="34" customHeight="1">
      <x:c r="A50" s="2" t="str">
        <x:v>main_top</x:v>
      </x:c>
      <x:c r="B50" s="2"/>
      <x:c r="C50" s="14" t="n">
        <x:f>INT($C$7*$C$28)</x:f>
        <x:v>0</x:v>
      </x:c>
      <x:c r="D50" s="2" t="str">
        <x:v>px</x:v>
      </x:c>
      <x:c r="E50" s="2" t="str">
        <x:v>公式计算</x:v>
      </x:c>
      <x:c r="F50" s="2"/>
      <x:c r="G50" s="12" t="str">
        <x:v>主 ROI 上界。</x:v>
      </x:c>
      <x:c r="H50" s="2"/>
    </x:row>
    <x:row r="51" ht="34" customHeight="1">
      <x:c r="A51" s="2" t="str">
        <x:v>main_width</x:v>
      </x:c>
      <x:c r="B51" s="2"/>
      <x:c r="C51" s="14" t="n">
        <x:f>INT($C$6*$C$29)</x:f>
        <x:v>288</x:v>
      </x:c>
      <x:c r="D51" s="2" t="str">
        <x:v>px</x:v>
      </x:c>
      <x:c r="E51" s="2" t="str">
        <x:v>公式计算</x:v>
      </x:c>
      <x:c r="F51" s="2"/>
      <x:c r="G51" s="12" t="str">
        <x:v>主 ROI 宽。</x:v>
      </x:c>
      <x:c r="H51" s="2"/>
    </x:row>
    <x:row r="52" ht="34" customHeight="1">
      <x:c r="A52" s="2" t="str">
        <x:v>main_height</x:v>
      </x:c>
      <x:c r="B52" s="2"/>
      <x:c r="C52" s="14" t="n">
        <x:f>INT($C$7*$C$30)</x:f>
        <x:v>132</x:v>
      </x:c>
      <x:c r="D52" s="2" t="str">
        <x:v>px</x:v>
      </x:c>
      <x:c r="E52" s="2" t="str">
        <x:v>公式计算</x:v>
      </x:c>
      <x:c r="F52" s="2"/>
      <x:c r="G52" s="12" t="str">
        <x:v>主 ROI 高。</x:v>
      </x:c>
      <x:c r="H52" s="2"/>
    </x:row>
    <x:row r="53" ht="34" customHeight="1">
      <x:c r="A53" s="2" t="str">
        <x:v>H_roi_y</x:v>
      </x:c>
      <x:c r="B53" s="2"/>
      <x:c r="C53" s="14" t="n">
        <x:f>$C$50+INT($C$52*$C$31)</x:f>
        <x:v>63</x:v>
      </x:c>
      <x:c r="D53" s="2" t="str">
        <x:v>px</x:v>
      </x:c>
      <x:c r="E53" s="2" t="str">
        <x:v>公式计算</x:v>
      </x:c>
      <x:c r="F53" s="2"/>
      <x:c r="G53" s="12" t="str">
        <x:v>横线 ROI 顶部。</x:v>
      </x:c>
      <x:c r="H53" s="2"/>
    </x:row>
    <x:row r="54" ht="34" customHeight="1">
      <x:c r="A54" s="2" t="str">
        <x:v>H_roi_height</x:v>
      </x:c>
      <x:c r="B54" s="2"/>
      <x:c r="C54" s="14" t="n">
        <x:f>INT($C$52*$C$32)</x:f>
        <x:v>46</x:v>
      </x:c>
      <x:c r="D54" s="2" t="str">
        <x:v>px</x:v>
      </x:c>
      <x:c r="E54" s="2" t="str">
        <x:v>公式计算</x:v>
      </x:c>
      <x:c r="F54" s="2"/>
      <x:c r="G54" s="12" t="str">
        <x:v>横线 ROI 高。</x:v>
      </x:c>
      <x:c r="H54" s="2"/>
    </x:row>
    <x:row r="55" ht="34" customHeight="1">
      <x:c r="A55" s="2" t="str">
        <x:v>mark_trigger_x</x:v>
      </x:c>
      <x:c r="B55" s="2"/>
      <x:c r="C55" s="14" t="n">
        <x:f>INT($C$6*$C$16)</x:f>
        <x:v>208</x:v>
      </x:c>
      <x:c r="D55" s="2" t="str">
        <x:v>px</x:v>
      </x:c>
      <x:c r="E55" s="2" t="str">
        <x:v>公式计算</x:v>
      </x:c>
      <x:c r="F55" s="2"/>
      <x:c r="G55" s="12" t="str">
        <x:v>当前触发中心，不自动对准单张照片中的竖线。</x:v>
      </x:c>
      <x:c r="H55" s="2"/>
    </x:row>
    <x:row r="56" ht="34" customHeight="1">
      <x:c r="A56" s="2" t="str">
        <x:v>sample_x_left</x:v>
      </x:c>
      <x:c r="B56" s="2"/>
      <x:c r="C56" s="14" t="n">
        <x:f>MAX($C$49,$C$55-$C$42)</x:f>
        <x:v>148</x:v>
      </x:c>
      <x:c r="D56" s="2" t="str">
        <x:v>px</x:v>
      </x:c>
      <x:c r="E56" s="2" t="str">
        <x:v>公式计算</x:v>
      </x:c>
      <x:c r="F56" s="2"/>
      <x:c r="G56" s="12" t="str">
        <x:v>左侧方向采样点。</x:v>
      </x:c>
      <x:c r="H56" s="2"/>
    </x:row>
    <x:row r="57" ht="34" customHeight="1">
      <x:c r="A57" s="2" t="str">
        <x:v>sample_x_right</x:v>
      </x:c>
      <x:c r="B57" s="2"/>
      <x:c r="C57" s="14" t="n">
        <x:f>MIN($C$49+$C$51-1,$C$55+$C$42)</x:f>
        <x:v>268</x:v>
      </x:c>
      <x:c r="D57" s="2" t="str">
        <x:v>px</x:v>
      </x:c>
      <x:c r="E57" s="2" t="str">
        <x:v>公式计算</x:v>
      </x:c>
      <x:c r="F57" s="2"/>
      <x:c r="G57" s="12" t="str">
        <x:v>右侧方向采样点。</x:v>
      </x:c>
      <x:c r="H57" s="2"/>
    </x:row>
    <x:row r="58" ht="34" customHeight="1">
      <x:c r="A58" s="2" t="str">
        <x:v>本图 y(trigger)</x:v>
      </x:c>
      <x:c r="B58" s="2"/>
      <x:c r="C58" s="11" t="n">
        <x:f>'图像测量'!B8*$C$55+'图像测量'!B9</x:f>
        <x:v>74.6341980826532</x:v>
      </x:c>
      <x:c r="D58" s="2" t="str">
        <x:v>px</x:v>
      </x:c>
      <x:c r="E58" s="2" t="str">
        <x:v>公式计算</x:v>
      </x:c>
      <x:c r="F58" s="2"/>
      <x:c r="G58" s="12" t="str">
        <x:v>边界中心拟合结果约 74.6±2；不代表设备已经识别到横线。</x:v>
      </x:c>
      <x:c r="H58" s="2"/>
    </x:row>
    <x:row r="59" ht="34" customHeight="1">
      <x:c r="A59" s="2" t="str">
        <x:v>position_error_px</x:v>
      </x:c>
      <x:c r="B59" s="2"/>
      <x:c r="C59" s="11" t="n">
        <x:f>$C$58-$C$41</x:f>
        <x:v>-7.365801917346801</x:v>
      </x:c>
      <x:c r="D59" s="2" t="str">
        <x:v>px</x:v>
      </x:c>
      <x:c r="E59" s="2" t="str">
        <x:v>公式计算</x:v>
      </x:c>
      <x:c r="F59" s="2"/>
      <x:c r="G59" s="12" t="str">
        <x:v>本图几何代入源码定义；截图实际显示 invalid，未输出有效误差。</x:v>
      </x:c>
      <x:c r="H59" s="2"/>
    </x:row>
    <x:row r="60" ht="34" customHeight="1">
      <x:c r="A60" s="2" t="str">
        <x:v>heading_error_px</x:v>
      </x:c>
      <x:c r="B60" s="2"/>
      <x:c r="C60" s="11" t="n">
        <x:f>'图像测量'!B8*($C$57-$C$56)</x:f>
        <x:v>0.14491605127020113</x:v>
      </x:c>
      <x:c r="D60" s="2" t="str">
        <x:v>px</x:v>
      </x:c>
      <x:c r="E60" s="2" t="str">
        <x:v>公式计算</x:v>
      </x:c>
      <x:c r="F60" s="2"/>
      <x:c r="G60" s="12" t="str">
        <x:v>约 0.1 px，低于边缘测量误差，实用上可视为近水平。</x:v>
      </x:c>
      <x:c r="H60" s="2"/>
    </x:row>
    <x:row r="61" ht="34" customHeight="1">
      <x:c r="A61" s="2" t="str">
        <x:v>line_angle_deg</x:v>
      </x:c>
      <x:c r="B61" s="2"/>
      <x:c r="C61" s="11" t="n">
        <x:f>DEGREES(ATAN('图像测量'!B8))</x:f>
        <x:v>0.06919228404284798</x:v>
      </x:c>
      <x:c r="D61" s="2" t="str">
        <x:v>度</x:v>
      </x:c>
      <x:c r="E61" s="2" t="str">
        <x:v>公式计算</x:v>
      </x:c>
      <x:c r="F61" s="2"/>
      <x:c r="G61" s="12" t="str">
        <x:v>约 0.1°；单张低分辨率叠加图不支持精确角度标定。</x:v>
      </x:c>
      <x:c r="H61" s="2"/>
    </x:row>
    <x:row r="62" ht="34" customHeight="1">
      <x:c r="A62" s="2" t="str">
        <x:v>可见横线厚度</x:v>
      </x:c>
      <x:c r="B62" s="2"/>
      <x:c r="C62" s="11" t="n">
        <x:f>'图像测量'!B12-'图像测量'!B11+1</x:f>
        <x:v>14</x:v>
      </x:c>
      <x:c r="D62" s="2" t="str">
        <x:v>px</x:v>
      </x:c>
      <x:c r="E62" s="2" t="str">
        <x:v>公式计算</x:v>
      </x:c>
      <x:c r="F62" s="2"/>
      <x:c r="G62" s="12" t="str">
        <x:v>可见厚度约 14 px，下缘受叠加线影响。</x:v>
      </x:c>
      <x:c r="H62" s="2"/>
    </x:row>
    <x:row r="63" ht="34" customHeight="1">
      <x:c r="A63" s="2" t="str">
        <x:v>竖线可见宽度</x:v>
      </x:c>
      <x:c r="B63" s="2"/>
      <x:c r="C63" s="11" t="n">
        <x:f>'图像测量'!B15-'图像测量'!B14+1</x:f>
        <x:v>20</x:v>
      </x:c>
      <x:c r="D63" s="2" t="str">
        <x:v>px</x:v>
      </x:c>
      <x:c r="E63" s="2" t="str">
        <x:v>公式计算</x:v>
      </x:c>
      <x:c r="F63" s="2"/>
      <x:c r="G63" s="12" t="str">
        <x:v>左右边界均包含，约 20 px。</x:v>
      </x:c>
      <x:c r="H63" s="2"/>
    </x:row>
    <x:row r="64" ht="34" customHeight="1">
      <x:c r="A64" s="2" t="str">
        <x:v>竖线可见中心</x:v>
      </x:c>
      <x:c r="B64" s="2"/>
      <x:c r="C64" s="11" t="n">
        <x:f>('图像测量'!B14+'图像测量'!B15)/2</x:f>
        <x:v>188.5</x:v>
      </x:c>
      <x:c r="D64" s="2" t="str">
        <x:v>px</x:v>
      </x:c>
      <x:c r="E64" s="2" t="str">
        <x:v>公式计算</x:v>
      </x:c>
      <x:c r="F64" s="2"/>
      <x:c r="G64" s="12" t="str">
        <x:v>外接框几何中心约 188.5；与像素质心不同。</x:v>
      </x:c>
      <x:c r="H64" s="2"/>
    </x:row>
    <x:row r="65" ht="34" customHeight="1">
      <x:c r="A65" s="2" t="str">
        <x:v>竖线可见高度</x:v>
      </x:c>
      <x:c r="B65" s="2"/>
      <x:c r="C65" s="11" t="n">
        <x:f>'图像测量'!B17-'图像测量'!B16+1</x:f>
        <x:v>68</x:v>
      </x:c>
      <x:c r="D65" s="2" t="str">
        <x:v>px</x:v>
      </x:c>
      <x:c r="E65" s="2" t="str">
        <x:v>公式计算</x:v>
      </x:c>
      <x:c r="F65" s="2"/>
      <x:c r="G65" s="12" t="str">
        <x:v>约 68 px，顶部超出画面，不能推断完整地标长度。</x:v>
      </x:c>
      <x:c r="H65" s="2"/>
    </x:row>
    <x:row r="66" ht="34" customHeight="1">
      <x:c r="A66" s="2" t="str">
        <x:v>触发中心距离</x:v>
      </x:c>
      <x:c r="B66" s="2"/>
      <x:c r="C66" s="11" t="n">
        <x:f>ABS($C$64-$C$55)</x:f>
        <x:v>19.5</x:v>
      </x:c>
      <x:c r="D66" s="2" t="str">
        <x:v>px</x:v>
      </x:c>
      <x:c r="E66" s="2" t="str">
        <x:v>公式计算</x:v>
      </x:c>
      <x:c r="F66" s="2"/>
      <x:c r="G66" s="12" t="str">
        <x:v>约 19.5 px，小于当前半窗宽 34。</x:v>
      </x:c>
      <x:c r="H66" s="2"/>
    </x:row>
    <x:row r="67" ht="34" customHeight="1">
      <x:c r="A67" s="2" t="str">
        <x:v>触发窗口覆盖</x:v>
      </x:c>
      <x:c r="B67" s="2"/>
      <x:c r="C67" s="18" t="str">
        <x:f>IF($C$66&lt;=$C$17,"覆盖","不覆盖")</x:f>
        <x:v>覆盖</x:v>
      </x:c>
      <x:c r="D67" s="2" t="str"/>
      <x:c r="E67" s="2" t="str">
        <x:v>公式计算</x:v>
      </x:c>
      <x:c r="F67" s="2"/>
      <x:c r="G67" s="12" t="str">
        <x:v>仅验证本帧位置条件。</x:v>
      </x:c>
      <x:c r="H67" s="2"/>
    </x:row>
    <x:row r="68" ht="34" customHeight="1">
      <x:c r="A68" s="2" t="str">
        <x:v>竖线处裁剪 y</x:v>
      </x:c>
      <x:c r="B68" s="2"/>
      <x:c r="C68" s="14" t="n">
        <x:f>MAX($C$50,MIN(INT('图像测量'!B8*$C$64+'图像测量'!B9)-$C$34,$C$50+$C$52))</x:f>
        <x:v>62</x:v>
      </x:c>
      <x:c r="D68" s="2" t="str">
        <x:v>px</x:v>
      </x:c>
      <x:c r="E68" s="2" t="str">
        <x:v>公式计算</x:v>
      </x:c>
      <x:c r="F68" s="2"/>
      <x:c r="G68" s="12" t="str">
        <x:v>从此行起清零；候选参数得到 y=62，最后保留行 y=61。</x:v>
      </x:c>
      <x:c r="H68" s="2"/>
    </x:row>
    <x:row r="69" ht="34" customHeight="1">
      <x:c r="A69" s="2" t="str">
        <x:v>联动间距余量</x:v>
      </x:c>
      <x:c r="B69" s="2"/>
      <x:c r="C69" s="14" t="n">
        <x:f>$C$24-$C$34</x:f>
        <x:v>4</x:v>
      </x:c>
      <x:c r="D69" s="2" t="str">
        <x:v>px</x:v>
      </x:c>
      <x:c r="E69" s="2" t="str">
        <x:v>公式计算</x:v>
      </x:c>
      <x:c r="F69" s="2"/>
      <x:c r="G69" s="12" t="str">
        <x:v>须留出取整、分割边缘及波动余量；建议 4 px，待实测。</x:v>
      </x:c>
      <x:c r="H69" s="2"/>
    </x:row>
    <x:row r="70" ht="38" customHeight="1">
      <x:c r="A70" s="2" t="str">
        <x:v>LAB_THRESHOLDS</x:v>
      </x:c>
      <x:c r="B70" s="2"/>
      <x:c r="C70" s="19" t="str">
        <x:f>"[["&amp;$C$8&amp;","&amp;$C$9&amp;","&amp;$C$10&amp;","&amp;$C$11&amp;","&amp;$C$12&amp;","&amp;$C$13&amp;"]]"</x:f>
        <x:v>[[0,56,-5,10,-7,10]]</x:v>
      </x:c>
      <x:c r="D70" s="2" t="str"/>
      <x:c r="E70" s="2" t="str">
        <x:v>公式计算</x:v>
      </x:c>
      <x:c r="F70" s="2"/>
      <x:c r="G70" s="12" t="str">
        <x:v>供复制的候选列表；建议保留旧阈值作为对照。</x:v>
      </x:c>
      <x:c r="H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</x:row>
    <x:row r="73" ht="24" customHeight="1">
      <x:c r="A73" s="2" t="str">
        <x:v>离线近似对照（固定截图统计，更改参数不会重新分割图像）</x:v>
      </x:c>
      <x:c r="B73" s="2"/>
      <x:c r="C73" s="2"/>
      <x:c r="D73" s="2"/>
      <x:c r="E73" s="2"/>
      <x:c r="F73" s="2"/>
      <x:c r="G73" s="2"/>
      <x:c r="H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</x:row>
    <x:row r="75" ht="28" customHeight="1">
      <x:c r="A75" s="6" t="str">
        <x:v>阈值方案 / 裁剪间隔</x:v>
      </x:c>
      <x:c r="B75" s="6" t="str">
        <x:v>色块宽 px</x:v>
      </x:c>
      <x:c r="C75" s="6" t="str">
        <x:v>色块高 px</x:v>
      </x:c>
      <x:c r="D75" s="6" t="str">
        <x:v>像素数</x:v>
      </x:c>
      <x:c r="E75" s="6" t="str">
        <x:v>最大宽度门限对照</x:v>
      </x:c>
      <x:c r="F75" s="2"/>
      <x:c r="G75" s="2"/>
      <x:c r="H75" s="2"/>
    </x:row>
    <x:row r="76" ht="36" customHeight="1">
      <x:c r="A76" s="2" t="str">
        <x:v>原 LAB，gap=3</x:v>
      </x:c>
      <x:c r="B76" s="2" t="n">
        <x:v>285</x:v>
      </x:c>
      <x:c r="C76" s="2" t="n">
        <x:v>68</x:v>
      </x:c>
      <x:c r="D76" s="2" t="n">
        <x:v>2067</x:v>
      </x:c>
      <x:c r="E76" s="2" t="str">
        <x:f>IF(B76&lt;=$C$22,"宽度通过","宽度不通过")</x:f>
        <x:v>宽度不通过</x:v>
      </x:c>
      <x:c r="F76" s="2"/>
      <x:c r="G76" s="12" t="str">
        <x:v>gap=3 时主要前景与横线残留粘连，宽约 285 px，超过 MARK_MAX_WIDTH=28。</x:v>
      </x:c>
      <x:c r="H76" s="2"/>
    </x:row>
    <x:row r="77" ht="36" customHeight="1">
      <x:c r="A77" s="2" t="str">
        <x:v>原 LAB，gap=12</x:v>
      </x:c>
      <x:c r="B77" s="2" t="n">
        <x:v>20</x:v>
      </x:c>
      <x:c r="C77" s="2" t="n">
        <x:v>59</x:v>
      </x:c>
      <x:c r="D77" s="2" t="n">
        <x:v>1152</x:v>
      </x:c>
      <x:c r="E77" s="2" t="str">
        <x:f>IF(B77&lt;=$C$22,"宽度通过","宽度不通过")</x:f>
        <x:v>宽度通过</x:v>
      </x:c>
      <x:c r="F77" s="2"/>
      <x:c r="G77" s="12" t="str">
        <x:v>gap=12 后原 LAB 得到约 20×59 px 的独立竖线，本图无需先更换 LAB 才能分离。</x:v>
      </x:c>
      <x:c r="H77" s="2"/>
    </x:row>
    <x:row r="78" ht="36" customHeight="1">
      <x:c r="A78" s="2" t="str">
        <x:v>候选 LAB，gap=3</x:v>
      </x:c>
      <x:c r="B78" s="2" t="n">
        <x:v>284</x:v>
      </x:c>
      <x:c r="C78" s="2" t="n">
        <x:v>67</x:v>
      </x:c>
      <x:c r="D78" s="2" t="n">
        <x:v>2043</x:v>
      </x:c>
      <x:c r="E78" s="2" t="str">
        <x:f>IF(B78&lt;=$C$22,"宽度通过","宽度不通过")</x:f>
        <x:v>宽度不通过</x:v>
      </x:c>
      <x:c r="F78" s="2"/>
      <x:c r="G78" s="12" t="str">
        <x:v>候选 LAB 收窄了色度范围，仍不能代替裁剪间隔调整。</x:v>
      </x:c>
      <x:c r="H78" s="2"/>
    </x:row>
    <x:row r="79" ht="36" customHeight="1">
      <x:c r="A79" s="2" t="str">
        <x:v>候选 LAB，gap=12</x:v>
      </x:c>
      <x:c r="B79" s="2" t="n">
        <x:v>20</x:v>
      </x:c>
      <x:c r="C79" s="2" t="n">
        <x:v>58</x:v>
      </x:c>
      <x:c r="D79" s="2" t="n">
        <x:v>1132</x:v>
      </x:c>
      <x:c r="E79" s="2" t="str">
        <x:f>IF(B79&lt;=$C$22,"宽度通过","宽度不通过")</x:f>
        <x:v>宽度通过</x:v>
      </x:c>
      <x:c r="F79" s="2"/>
      <x:c r="G79" s="12" t="str">
        <x:v>候选 LAB 加 gap=12 得到约 20×58 px、1132 像素；不是板端实测。</x:v>
      </x:c>
      <x:c r="H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</x:row>
    <x:row r="82" ht="24" customHeight="1">
      <x:c r="A82" s="2" t="str">
        <x:v>现场待测：有效 FPS、像素移动速度、相邻地标清空时间、正常/反光/阴影原始帧。</x:v>
      </x:c>
      <x:c r="B82" s="2"/>
      <x:c r="C82" s="2"/>
      <x:c r="D82" s="2"/>
      <x:c r="E82" s="2"/>
      <x:c r="F82" s="2"/>
      <x:c r="G82" s="2"/>
      <x:c r="H82" s="2"/>
    </x:row>
    <x:row r="83" ht="24" customHeight="1">
      <x:c r="A83" s="2" t="str">
        <x:v>截图 line:lost 不能由此表确诊。应先检查板端 LAB 掩膜、回归候选、运行版本与部署源码是否一致。</x:v>
      </x:c>
      <x:c r="B83" s="2"/>
      <x:c r="C83" s="2"/>
      <x:c r="D83" s="2"/>
      <x:c r="E83" s="2"/>
      <x:c r="F83" s="2"/>
      <x:c r="G83" s="2"/>
      <x:c r="H83" s="2"/>
    </x:row>
    <x:row r="84" ht="24" customHeight="1">
      <x:c r="A84" s="2" t="str">
        <x:v>数值未写回 main.py。先对比二值图，再验证裁剪后竖线，最后测试多帧计数。</x:v>
      </x:c>
      <x:c r="B84" s="2"/>
      <x:c r="C84" s="2"/>
      <x:c r="D84" s="2"/>
      <x:c r="E84" s="2"/>
      <x:c r="F84" s="2"/>
      <x:c r="G84" s="2"/>
      <x:c r="H84" s="2"/>
    </x:row>
    <x:row r="85" ht="24" customHeight="1">
      <x:c r="A85" s="2" t="str">
        <x:v>串口引脚、波特率和计数历史无法从照片计算；本表仅覆盖视觉参数区。</x:v>
      </x:c>
      <x:c r="B85" s="2"/>
      <x:c r="C85" s="2"/>
      <x:c r="D85" s="2"/>
      <x:c r="E85" s="2"/>
      <x:c r="F85" s="2"/>
      <x:c r="G85" s="2"/>
      <x:c r="H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</x:row>
  </x:sheetData>
  <x:conditionalFormatting sqref="E76:E79">
    <x:cfRule type="containsText" dxfId="0" priority="1" operator="containsText" text="不通过"/>
  </x:conditionalFormatting>
  <x:pageMargins left="0.7" right="0.7" top="0.75" bottom="0.75" header="0.3" footer="0.3"/>
  <x:tableParts count="1">
    <x:tablePart xmlns:r="http://schemas.openxmlformats.org/officeDocument/2006/relationships" r:id="Rc226d76a353b4237"/>
  </x:tableParts>
</x:worksheet>
</file>

<file path=xl/worksheets/sheet2.xml><?xml version="1.0" encoding="utf-8"?>
<x:worksheet xmlns:x="http://schemas.openxmlformats.org/spreadsheetml/2006/main">
  <x:sheetPr>
    <x:tabColor rgb="FF6687A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.25" hidden="0" customWidth="1"/>
    <x:col min="2" max="2" width="11" hidden="0" customWidth="1"/>
    <x:col min="3" max="3" width="11.25" hidden="0" customWidth="1"/>
    <x:col min="4" max="4" width="11.25" hidden="0" customWidth="1"/>
    <x:col min="5" max="5" width="11.75" hidden="0" customWidth="1"/>
    <x:col min="6" max="6" width="11.75" hidden="0" customWidth="1"/>
    <x:col min="7" max="7" width="11" hidden="0" customWidth="1"/>
    <x:col min="8" max="8" width="31.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图像测量与计算依据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来源：pictures/20260924163412.jpeg；参数快照：code/main.py（2026-09-24）。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28" customHeight="1">
      <x:c r="A5" s="6" t="str">
        <x:v>输入 / 测量项</x:v>
      </x:c>
      <x:c r="B5" s="6" t="str">
        <x:v>数值</x:v>
      </x:c>
      <x:c r="C5" s="6" t="str">
        <x:v>单位</x:v>
      </x:c>
      <x:c r="D5" s="6" t="str">
        <x:v>类型</x:v>
      </x:c>
      <x:c r="E5" s="2"/>
      <x:c r="F5" s="2"/>
      <x:c r="G5" s="2"/>
      <x:c r="H5" s="2"/>
    </x:row>
    <x:row r="6" ht="24" customHeight="1">
      <x:c r="A6" s="2" t="str">
        <x:v>图像宽度</x:v>
      </x:c>
      <x:c r="B6" s="7" t="n">
        <x:v>320</x:v>
      </x:c>
      <x:c r="C6" s="2" t="str">
        <x:v>px</x:v>
      </x:c>
      <x:c r="D6" s="2" t="str">
        <x:v>图像元数据</x:v>
      </x:c>
      <x:c r="E6" s="2"/>
      <x:c r="F6" s="2"/>
      <x:c r="G6" s="2"/>
      <x:c r="H6" s="2"/>
    </x:row>
    <x:row r="7" ht="24" customHeight="1">
      <x:c r="A7" s="2" t="str">
        <x:v>图像高度</x:v>
      </x:c>
      <x:c r="B7" s="7" t="n">
        <x:v>240</x:v>
      </x:c>
      <x:c r="C7" s="2" t="str">
        <x:v>px</x:v>
      </x:c>
      <x:c r="D7" s="2" t="str">
        <x:v>图像元数据</x:v>
      </x:c>
      <x:c r="E7" s="2"/>
      <x:c r="F7" s="2"/>
      <x:c r="G7" s="2"/>
      <x:c r="H7" s="2"/>
    </x:row>
    <x:row r="8" ht="24" customHeight="1">
      <x:c r="A8" s="2" t="str">
        <x:v>横线中心拟合斜率</x:v>
      </x:c>
      <x:c r="B8" s="9" t="n">
        <x:f>SLOPE(D58:D290,A58:A290)</x:f>
        <x:v>0.0012076337605850095</x:v>
      </x:c>
      <x:c r="C8" s="2" t="str">
        <x:v>px/px</x:v>
      </x:c>
      <x:c r="D8" s="2" t="str">
        <x:v>离线拟合</x:v>
      </x:c>
      <x:c r="E8" s="2"/>
      <x:c r="F8" s="2"/>
      <x:c r="G8" s="2"/>
      <x:c r="H8" s="2"/>
    </x:row>
    <x:row r="9" ht="24" customHeight="1">
      <x:c r="A9" s="2" t="str">
        <x:v>横线拟合截距</x:v>
      </x:c>
      <x:c r="B9" s="9" t="n">
        <x:f>INTERCEPT(D58:D290,A58:A290)</x:f>
        <x:v>74.38301026045151</x:v>
      </x:c>
      <x:c r="C9" s="2" t="str">
        <x:v>px</x:v>
      </x:c>
      <x:c r="D9" s="2" t="str">
        <x:v>离线拟合</x:v>
      </x:c>
      <x:c r="E9" s="2"/>
      <x:c r="F9" s="2"/>
      <x:c r="G9" s="2"/>
      <x:c r="H9" s="2"/>
    </x:row>
    <x:row r="10" ht="24" customHeight="1">
      <x:c r="A10" s="2" t="str">
        <x:v>采样列数</x:v>
      </x:c>
      <x:c r="B10" s="8" t="n">
        <x:f>COUNT(A58:A290)</x:f>
        <x:v>233</x:v>
      </x:c>
      <x:c r="C10" s="2" t="str">
        <x:v>列</x:v>
      </x:c>
      <x:c r="D10" s="2" t="str">
        <x:v>图像统计</x:v>
      </x:c>
      <x:c r="E10" s="2"/>
      <x:c r="F10" s="2"/>
      <x:c r="G10" s="2"/>
      <x:c r="H10" s="2"/>
    </x:row>
    <x:row r="11" ht="24" customHeight="1">
      <x:c r="A11" s="2" t="str">
        <x:v>可见上缘中位数</x:v>
      </x:c>
      <x:c r="B11" s="8" t="n">
        <x:f>MEDIAN(B58:B290)</x:f>
        <x:v>68</x:v>
      </x:c>
      <x:c r="C11" s="2" t="str">
        <x:v>px</x:v>
      </x:c>
      <x:c r="D11" s="2" t="str">
        <x:v>图像统计</x:v>
      </x:c>
      <x:c r="E11" s="2"/>
      <x:c r="F11" s="2"/>
      <x:c r="G11" s="2"/>
      <x:c r="H11" s="2"/>
    </x:row>
    <x:row r="12" ht="24" customHeight="1">
      <x:c r="A12" s="2" t="str">
        <x:v>可见下缘中位数</x:v>
      </x:c>
      <x:c r="B12" s="8" t="n">
        <x:f>MEDIAN(C58:C290)</x:f>
        <x:v>81</x:v>
      </x:c>
      <x:c r="C12" s="2" t="str">
        <x:v>px</x:v>
      </x:c>
      <x:c r="D12" s="2" t="str">
        <x:v>图像统计</x:v>
      </x:c>
      <x:c r="E12" s="2"/>
      <x:c r="F12" s="2"/>
      <x:c r="G12" s="2"/>
      <x:c r="H12" s="2"/>
    </x:row>
    <x:row r="13" ht="24" customHeight="1">
      <x:c r="A13" s="2" t="str">
        <x:v>几何估计误差约</x:v>
      </x:c>
      <x:c r="B13" s="7" t="n">
        <x:v>2</x:v>
      </x:c>
      <x:c r="C13" s="2" t="str">
        <x:v>px</x:v>
      </x:c>
      <x:c r="D13" s="2" t="str">
        <x:v>经验估计</x:v>
      </x:c>
      <x:c r="E13" s="2"/>
      <x:c r="F13" s="2"/>
      <x:c r="G13" s="2"/>
      <x:c r="H13" s="2"/>
    </x:row>
    <x:row r="14" ht="24" customHeight="1">
      <x:c r="A14" s="2" t="str">
        <x:v>竖线左界约</x:v>
      </x:c>
      <x:c r="B14" s="7" t="n">
        <x:v>179</x:v>
      </x:c>
      <x:c r="C14" s="2" t="str">
        <x:v>px</x:v>
      </x:c>
      <x:c r="D14" s="2" t="str">
        <x:v>图像估计</x:v>
      </x:c>
      <x:c r="E14" s="2"/>
      <x:c r="F14" s="2"/>
      <x:c r="G14" s="2"/>
      <x:c r="H14" s="2"/>
    </x:row>
    <x:row r="15" ht="24" customHeight="1">
      <x:c r="A15" s="2" t="str">
        <x:v>竖线右界约（含）</x:v>
      </x:c>
      <x:c r="B15" s="7" t="n">
        <x:v>198</x:v>
      </x:c>
      <x:c r="C15" s="2" t="str">
        <x:v>px</x:v>
      </x:c>
      <x:c r="D15" s="2" t="str">
        <x:v>图像估计</x:v>
      </x:c>
      <x:c r="E15" s="2"/>
      <x:c r="F15" s="2"/>
      <x:c r="G15" s="2"/>
      <x:c r="H15" s="2"/>
    </x:row>
    <x:row r="16" ht="24" customHeight="1">
      <x:c r="A16" s="2" t="str">
        <x:v>竖线可见顶部</x:v>
      </x:c>
      <x:c r="B16" s="7" t="n">
        <x:v>0</x:v>
      </x:c>
      <x:c r="C16" s="2" t="str">
        <x:v>px</x:v>
      </x:c>
      <x:c r="D16" s="2" t="str">
        <x:v>被画幅截断</x:v>
      </x:c>
      <x:c r="E16" s="2"/>
      <x:c r="F16" s="2"/>
      <x:c r="G16" s="2"/>
      <x:c r="H16" s="2"/>
    </x:row>
    <x:row r="17" ht="24" customHeight="1">
      <x:c r="A17" s="2" t="str">
        <x:v>竖线可见底部约</x:v>
      </x:c>
      <x:c r="B17" s="7" t="n">
        <x:v>67</x:v>
      </x:c>
      <x:c r="C17" s="2" t="str">
        <x:v>px</x:v>
      </x:c>
      <x:c r="D17" s="2" t="str">
        <x:v>接入横线</x:v>
      </x:c>
      <x:c r="E17" s="2"/>
      <x:c r="F17" s="2"/>
      <x:c r="G17" s="2"/>
      <x:c r="H17" s="2"/>
    </x:row>
    <x:row r="18" ht="24" customHeight="1">
      <x:c r="A18" s="2" t="str">
        <x:v>裁剪附加余量</x:v>
      </x:c>
      <x:c r="B18" s="7" t="n">
        <x:v>5</x:v>
      </x:c>
      <x:c r="C18" s="2" t="str">
        <x:v>px</x:v>
      </x:c>
      <x:c r="D18" s="2" t="str">
        <x:v>建议初值</x:v>
      </x:c>
      <x:c r="E18" s="2"/>
      <x:c r="F18" s="2"/>
      <x:c r="G18" s="2"/>
      <x:c r="H18" s="2"/>
    </x:row>
    <x:row r="19" ht="24" customHeight="1">
      <x:c r="A19" s="2" t="str">
        <x:v>交点距离附加余量</x:v>
      </x:c>
      <x:c r="B19" s="7" t="n">
        <x:v>4</x:v>
      </x:c>
      <x:c r="C19" s="2" t="str">
        <x:v>px</x:v>
      </x:c>
      <x:c r="D19" s="2" t="str">
        <x:v>建议初值</x:v>
      </x:c>
      <x:c r="E19" s="2" t="str">
        <x:v>坐标原点：左上，x 向右，y 向下。</x:v>
      </x:c>
      <x:c r="F19" s="2"/>
      <x:c r="G19" s="2"/>
      <x:c r="H19" s="2"/>
    </x:row>
    <x:row r="20" ht="24" customHeight="1">
      <x:c r="A20" s="2" t="str">
        <x:v>LAB 亮度上界余量</x:v>
      </x:c>
      <x:c r="B20" s="7" t="n">
        <x:v>5</x:v>
      </x:c>
      <x:c r="C20" s="2" t="str">
        <x:v>L</x:v>
      </x:c>
      <x:c r="D20" s="2" t="str">
        <x:v>建议初值</x:v>
      </x:c>
      <x:c r="E20" s="2" t="str">
        <x:v>原图含彩框和文字，不能当作相机原始帧。</x:v>
      </x:c>
      <x:c r="F20" s="2"/>
      <x:c r="G20" s="2"/>
      <x:c r="H20" s="2"/>
    </x:row>
    <x:row r="21" ht="24" customHeight="1">
      <x:c r="A21" s="2" t="str">
        <x:v>LAB 色度边界余量</x:v>
      </x:c>
      <x:c r="B21" s="7" t="n">
        <x:v>3</x:v>
      </x:c>
      <x:c r="C21" s="2" t="str">
        <x:v>a/b</x:v>
      </x:c>
      <x:c r="D21" s="2" t="str">
        <x:v>建议初值</x:v>
      </x:c>
      <x:c r="E21" s="2" t="str">
        <x:v>横线下缘受 y≈82 的叠加线遮挡，中心约 ±2 px。</x:v>
      </x:c>
      <x:c r="F21" s="2"/>
      <x:c r="G21" s="2"/>
      <x:c r="H21" s="2"/>
    </x:row>
    <x:row r="22" ht="24" customHeight="1">
      <x:c r="A22" s="2" t="str">
        <x:v>照片为理想巡线位置</x:v>
      </x:c>
      <x:c r="B22" s="7" t="str">
        <x:v>未确认</x:v>
      </x:c>
      <x:c r="C22" s="2" t="str">
        <x:v>是/否</x:v>
      </x:c>
      <x:c r="D22" s="2" t="str">
        <x:v>需用户确认</x:v>
      </x:c>
      <x:c r="E22" s="2" t="str">
        <x:v>竖线顶部在图外，测得的是可见长度。</x:v>
      </x:c>
      <x:c r="F22" s="2"/>
      <x:c r="G22" s="2"/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24" customHeight="1">
      <x:c r="A24" s="2" t="str">
        <x:v>方法：先用 5×5 二项核近似高斯滤波，再将 sRGB 转为 D65 CIELAB。</x:v>
      </x:c>
      <x:c r="B24" s="2"/>
      <x:c r="C24" s="2"/>
      <x:c r="D24" s="2"/>
      <x:c r="E24" s="2"/>
      <x:c r="F24" s="2"/>
      <x:c r="G24" s="2"/>
      <x:c r="H24" s="2"/>
    </x:row>
    <x:row r="25" ht="24" customHeight="1">
      <x:c r="A25" s="2" t="str">
        <x:v>色彩样本避开彩框和接头。阈值只覆盖本图样本，MaixPy 量化及现场光照仍需复核。</x:v>
      </x:c>
      <x:c r="B25" s="2"/>
      <x:c r="C25" s="2"/>
      <x:c r="D25" s="2"/>
      <x:c r="E25" s="2"/>
      <x:c r="F25" s="2"/>
      <x:c r="G25" s="2"/>
      <x:c r="H25" s="2"/>
    </x:row>
    <x:row r="26" ht="24" customHeight="1">
      <x:c r="A26" s="2" t="str">
        <x:v>几何：x=25…168、207…295，y=66…81，L&lt;56 的首末可见像素中点作最小二乘拟合。</x:v>
      </x:c>
      <x:c r="B26" s="2"/>
      <x:c r="C26" s="2"/>
      <x:c r="D26" s="2"/>
      <x:c r="E26" s="2"/>
      <x:c r="F26" s="2"/>
      <x:c r="G26" s="2"/>
      <x:c r="H26" s="2"/>
    </x:row>
    <x:row r="27" ht="24" customHeight="1">
      <x:c r="A27" s="2" t="str">
        <x:v>这不是 MaixPy robust 回归输出。修改采样坐标不会重新读图；更换照片需重新提取样本。</x:v>
      </x:c>
      <x:c r="B27" s="2"/>
      <x:c r="C27" s="2"/>
      <x:c r="D27" s="2"/>
      <x:c r="E27" s="2"/>
      <x:c r="F27" s="2"/>
      <x:c r="G27" s="2"/>
      <x:c r="H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</x:row>
    <x:row r="29" ht="38" customHeight="1">
      <x:c r="A29" s="20" t="str">
        <x:v>样本区域</x:v>
      </x:c>
      <x:c r="B29" s="20" t="str">
        <x:v>通道</x:v>
      </x:c>
      <x:c r="C29" s="20" t="str">
        <x:v>最小值</x:v>
      </x:c>
      <x:c r="D29" s="20" t="str">
        <x:v>最大值</x:v>
      </x:c>
      <x:c r="E29" s="20" t="str">
        <x:v>P05</x:v>
      </x:c>
      <x:c r="F29" s="20" t="str">
        <x:v>P95</x:v>
      </x:c>
      <x:c r="G29" s="20" t="str">
        <x:v>像素数</x:v>
      </x:c>
      <x:c r="H29" s="20" t="str">
        <x:v>采样框 [x0,y0,x1,y1)</x:v>
      </x:c>
    </x:row>
    <x:row r="30" ht="24" customHeight="1">
      <x:c r="A30" s="2" t="str">
        <x:v>横线左内部</x:v>
      </x:c>
      <x:c r="B30" s="2" t="str">
        <x:v>L</x:v>
      </x:c>
      <x:c r="C30" s="10" t="n">
        <x:v>17.512230211880315</x:v>
      </x:c>
      <x:c r="D30" s="10" t="n">
        <x:v>29.009298591030017</x:v>
      </x:c>
      <x:c r="E30" s="10" t="n">
        <x:v>19.066390996476777</x:v>
      </x:c>
      <x:c r="F30" s="10" t="n">
        <x:v>28.35162782284123</x:v>
      </x:c>
      <x:c r="G30" s="2" t="n">
        <x:v>990</x:v>
      </x:c>
      <x:c r="H30" s="2" t="str">
        <x:v>[30, 70, 140, 79]</x:v>
      </x:c>
    </x:row>
    <x:row r="31" ht="24" customHeight="1">
      <x:c r="A31" s="2" t="str">
        <x:v>横线左内部</x:v>
      </x:c>
      <x:c r="B31" s="2" t="str">
        <x:v>A</x:v>
      </x:c>
      <x:c r="C31" s="10" t="n">
        <x:v>-1.0876455713492161</x:v>
      </x:c>
      <x:c r="D31" s="10" t="n">
        <x:v>6.205741829913403</x:v>
      </x:c>
      <x:c r="E31" s="10" t="n">
        <x:v>-0.015329983780926204</x:v>
      </x:c>
      <x:c r="F31" s="10" t="n">
        <x:v>4.662274695499187</x:v>
      </x:c>
      <x:c r="G31" s="2" t="n">
        <x:v>990</x:v>
      </x:c>
      <x:c r="H31" s="2" t="str">
        <x:v>[30, 70, 140, 79]</x:v>
      </x:c>
    </x:row>
    <x:row r="32" ht="24" customHeight="1">
      <x:c r="A32" s="2" t="str">
        <x:v>横线左内部</x:v>
      </x:c>
      <x:c r="B32" s="2" t="str">
        <x:v>B</x:v>
      </x:c>
      <x:c r="C32" s="10" t="n">
        <x:v>-2.079411650030427</x:v>
      </x:c>
      <x:c r="D32" s="10" t="n">
        <x:v>2.961588524672032</x:v>
      </x:c>
      <x:c r="E32" s="10" t="n">
        <x:v>-0.46664489928204267</x:v>
      </x:c>
      <x:c r="F32" s="10" t="n">
        <x:v>2.036435231973488</x:v>
      </x:c>
      <x:c r="G32" s="2" t="n">
        <x:v>990</x:v>
      </x:c>
      <x:c r="H32" s="2" t="str">
        <x:v>[30, 70, 140, 79]</x:v>
      </x:c>
    </x:row>
    <x:row r="33" ht="24" customHeight="1">
      <x:c r="A33" s="2" t="str">
        <x:v>横线右内部</x:v>
      </x:c>
      <x:c r="B33" s="2" t="str">
        <x:v>L</x:v>
      </x:c>
      <x:c r="C33" s="10" t="n">
        <x:v>42.916506540586106</x:v>
      </x:c>
      <x:c r="D33" s="10" t="n">
        <x:v>50.608833551576964</x:v>
      </x:c>
      <x:c r="E33" s="10" t="n">
        <x:v>44.24385480352953</x:v>
      </x:c>
      <x:c r="F33" s="10" t="n">
        <x:v>49.532685700126336</x:v>
      </x:c>
      <x:c r="G33" s="2" t="n">
        <x:v>640</x:v>
      </x:c>
      <x:c r="H33" s="2" t="str">
        <x:v>[210, 71, 290, 79]</x:v>
      </x:c>
    </x:row>
    <x:row r="34" ht="24" customHeight="1">
      <x:c r="A34" s="2" t="str">
        <x:v>横线右内部</x:v>
      </x:c>
      <x:c r="B34" s="2" t="str">
        <x:v>A</x:v>
      </x:c>
      <x:c r="C34" s="10" t="n">
        <x:v>0.3730722863042324</x:v>
      </x:c>
      <x:c r="D34" s="10" t="n">
        <x:v>4.754799172041468</x:v>
      </x:c>
      <x:c r="E34" s="10" t="n">
        <x:v>0.8189122279429195</x:v>
      </x:c>
      <x:c r="F34" s="10" t="n">
        <x:v>3.969883791663409</x:v>
      </x:c>
      <x:c r="G34" s="2" t="n">
        <x:v>640</x:v>
      </x:c>
      <x:c r="H34" s="2" t="str">
        <x:v>[210, 71, 290, 79]</x:v>
      </x:c>
    </x:row>
    <x:row r="35" ht="24" customHeight="1">
      <x:c r="A35" s="2" t="str">
        <x:v>横线右内部</x:v>
      </x:c>
      <x:c r="B35" s="2" t="str">
        <x:v>B</x:v>
      </x:c>
      <x:c r="C35" s="10" t="n">
        <x:v>1.7136261740372083</x:v>
      </x:c>
      <x:c r="D35" s="10" t="n">
        <x:v>6.745118558144636</x:v>
      </x:c>
      <x:c r="E35" s="10" t="n">
        <x:v>2.5301174794526062</x:v>
      </x:c>
      <x:c r="F35" s="10" t="n">
        <x:v>6.4648439428520375</x:v>
      </x:c>
      <x:c r="G35" s="2" t="n">
        <x:v>640</x:v>
      </x:c>
      <x:c r="H35" s="2" t="str">
        <x:v>[210, 71, 290, 79]</x:v>
      </x:c>
    </x:row>
    <x:row r="36" ht="24" customHeight="1">
      <x:c r="A36" s="2" t="str">
        <x:v>竖线上内部</x:v>
      </x:c>
      <x:c r="B36" s="2" t="str">
        <x:v>L</x:v>
      </x:c>
      <x:c r="C36" s="10" t="n">
        <x:v>18.274272616314718</x:v>
      </x:c>
      <x:c r="D36" s="10" t="n">
        <x:v>21.24673129498138</x:v>
      </x:c>
      <x:c r="E36" s="10" t="n">
        <x:v>18.38100971246222</x:v>
      </x:c>
      <x:c r="F36" s="10" t="n">
        <x:v>20.842148368833833</x:v>
      </x:c>
      <x:c r="G36" s="2" t="n">
        <x:v>132</x:v>
      </x:c>
      <x:c r="H36" s="2" t="str">
        <x:v>[183, 7, 194, 19]</x:v>
      </x:c>
    </x:row>
    <x:row r="37" ht="24" customHeight="1">
      <x:c r="A37" s="2" t="str">
        <x:v>竖线上内部</x:v>
      </x:c>
      <x:c r="B37" s="2" t="str">
        <x:v>A</x:v>
      </x:c>
      <x:c r="C37" s="10" t="n">
        <x:v>-0.6908339266921137</x:v>
      </x:c>
      <x:c r="D37" s="10" t="n">
        <x:v>4.780030693444736</x:v>
      </x:c>
      <x:c r="E37" s="10" t="n">
        <x:v>-2.7755575615628914e-14</x:v>
      </x:c>
      <x:c r="F37" s="10" t="n">
        <x:v>4.53019366075913</x:v>
      </x:c>
      <x:c r="G37" s="2" t="n">
        <x:v>132</x:v>
      </x:c>
      <x:c r="H37" s="2" t="str">
        <x:v>[183, 7, 194, 19]</x:v>
      </x:c>
    </x:row>
    <x:row r="38" ht="24" customHeight="1">
      <x:c r="A38" s="2" t="str">
        <x:v>竖线上内部</x:v>
      </x:c>
      <x:c r="B38" s="2" t="str">
        <x:v>B</x:v>
      </x:c>
      <x:c r="C38" s="10" t="n">
        <x:v>-3.98517050973467</x:v>
      </x:c>
      <x:c r="D38" s="10" t="n">
        <x:v>2.090914689188317</x:v>
      </x:c>
      <x:c r="E38" s="10" t="n">
        <x:v>-3.5194250890427985</x:v>
      </x:c>
      <x:c r="F38" s="10" t="n">
        <x:v>1.3642190639521707</x:v>
      </x:c>
      <x:c r="G38" s="2" t="n">
        <x:v>132</x:v>
      </x:c>
      <x:c r="H38" s="2" t="str">
        <x:v>[183, 7, 194, 19]</x:v>
      </x:c>
    </x:row>
    <x:row r="39" ht="24" customHeight="1">
      <x:c r="A39" s="2" t="str">
        <x:v>竖线下内部</x:v>
      </x:c>
      <x:c r="B39" s="2" t="str">
        <x:v>L</x:v>
      </x:c>
      <x:c r="C39" s="10" t="n">
        <x:v>21.22438606499515</x:v>
      </x:c>
      <x:c r="D39" s="10" t="n">
        <x:v>39.723354225234566</x:v>
      </x:c>
      <x:c r="E39" s="10" t="n">
        <x:v>22.59252234785169</x:v>
      </x:c>
      <x:c r="F39" s="10" t="n">
        <x:v>37.64344062725446</x:v>
      </x:c>
      <x:c r="G39" s="2" t="n">
        <x:v>341</x:v>
      </x:c>
      <x:c r="H39" s="2" t="str">
        <x:v>[183, 28, 194, 59]</x:v>
      </x:c>
    </x:row>
    <x:row r="40" ht="24" customHeight="1">
      <x:c r="A40" s="2" t="str">
        <x:v>竖线下内部</x:v>
      </x:c>
      <x:c r="B40" s="2" t="str">
        <x:v>A</x:v>
      </x:c>
      <x:c r="C40" s="10" t="n">
        <x:v>1.4260581615409273</x:v>
      </x:c>
      <x:c r="D40" s="10" t="n">
        <x:v>3.7217057760332573</x:v>
      </x:c>
      <x:c r="E40" s="10" t="n">
        <x:v>1.8869103840868373</x:v>
      </x:c>
      <x:c r="F40" s="10" t="n">
        <x:v>3.0528674829334026</x:v>
      </x:c>
      <x:c r="G40" s="2" t="n">
        <x:v>341</x:v>
      </x:c>
      <x:c r="H40" s="2" t="str">
        <x:v>[183, 28, 194, 59]</x:v>
      </x:c>
    </x:row>
    <x:row r="41" ht="24" customHeight="1">
      <x:c r="A41" s="2" t="str">
        <x:v>竖线下内部</x:v>
      </x:c>
      <x:c r="B41" s="2" t="str">
        <x:v>B</x:v>
      </x:c>
      <x:c r="C41" s="10" t="n">
        <x:v>-0.4600679131285146</x:v>
      </x:c>
      <x:c r="D41" s="10" t="n">
        <x:v>3.6315954968160202</x:v>
      </x:c>
      <x:c r="E41" s="10" t="n">
        <x:v>-0.4434744589267847</x:v>
      </x:c>
      <x:c r="F41" s="10" t="n">
        <x:v>2.945361033167959</x:v>
      </x:c>
      <x:c r="G41" s="2" t="n">
        <x:v>341</x:v>
      </x:c>
      <x:c r="H41" s="2" t="str">
        <x:v>[183, 28, 194, 59]</x:v>
      </x:c>
    </x:row>
    <x:row r="42" ht="24" customHeight="1">
      <x:c r="A42" s="2" t="str">
        <x:v>上方背景左</x:v>
      </x:c>
      <x:c r="B42" s="2" t="str">
        <x:v>L</x:v>
      </x:c>
      <x:c r="C42" s="10" t="n">
        <x:v>62.68657196809761</x:v>
      </x:c>
      <x:c r="D42" s="10" t="n">
        <x:v>77.7043635899527</x:v>
      </x:c>
      <x:c r="E42" s="10" t="n">
        <x:v>65.51854004754915</x:v>
      </x:c>
      <x:c r="F42" s="10" t="n">
        <x:v>77.34033035450727</x:v>
      </x:c>
      <x:c r="G42" s="2" t="n">
        <x:v>3380</x:v>
      </x:c>
      <x:c r="H42" s="2" t="str">
        <x:v>[30, 30, 160, 56]</x:v>
      </x:c>
    </x:row>
    <x:row r="43" ht="24" customHeight="1">
      <x:c r="A43" s="2" t="str">
        <x:v>上方背景左</x:v>
      </x:c>
      <x:c r="B43" s="2" t="str">
        <x:v>A</x:v>
      </x:c>
      <x:c r="C43" s="10" t="n">
        <x:v>-1.954904520166223</x:v>
      </x:c>
      <x:c r="D43" s="10" t="n">
        <x:v>0.6973657915450016</x:v>
      </x:c>
      <x:c r="E43" s="10" t="n">
        <x:v>-0.9066468257863391</x:v>
      </x:c>
      <x:c r="F43" s="10" t="n">
        <x:v>5.551115123125783e-14</x:v>
      </x:c>
      <x:c r="G43" s="2" t="n">
        <x:v>3380</x:v>
      </x:c>
      <x:c r="H43" s="2" t="str">
        <x:v>[30, 30, 160, 56]</x:v>
      </x:c>
    </x:row>
    <x:row r="44" ht="24" customHeight="1">
      <x:c r="A44" s="2" t="str">
        <x:v>上方背景左</x:v>
      </x:c>
      <x:c r="B44" s="2" t="str">
        <x:v>B</x:v>
      </x:c>
      <x:c r="C44" s="10" t="n">
        <x:v>-1.9509852252584947</x:v>
      </x:c>
      <x:c r="D44" s="10" t="n">
        <x:v>1.3032589797715266</x:v>
      </x:c>
      <x:c r="E44" s="10" t="n">
        <x:v>-0.5097454906200838</x:v>
      </x:c>
      <x:c r="F44" s="10" t="n">
        <x:v>0.26821123645071054</x:v>
      </x:c>
      <x:c r="G44" s="2" t="n">
        <x:v>3380</x:v>
      </x:c>
      <x:c r="H44" s="2" t="str">
        <x:v>[30, 30, 160, 56]</x:v>
      </x:c>
    </x:row>
    <x:row r="45" ht="24" customHeight="1">
      <x:c r="A45" s="2" t="str">
        <x:v>上方背景右</x:v>
      </x:c>
      <x:c r="B45" s="2" t="str">
        <x:v>L</x:v>
      </x:c>
      <x:c r="C45" s="10" t="n">
        <x:v>76.24609054741438</x:v>
      </x:c>
      <x:c r="D45" s="10" t="n">
        <x:v>81.32559965257433</x:v>
      </x:c>
      <x:c r="E45" s="10" t="n">
        <x:v>77.76199330883527</x:v>
      </x:c>
      <x:c r="F45" s="10" t="n">
        <x:v>80.96500903122651</x:v>
      </x:c>
      <x:c r="G45" s="2" t="n">
        <x:v>2025</x:v>
      </x:c>
      <x:c r="H45" s="2" t="str">
        <x:v>[215, 30, 290, 57]</x:v>
      </x:c>
    </x:row>
    <x:row r="46" ht="24" customHeight="1">
      <x:c r="A46" s="2" t="str">
        <x:v>上方背景右</x:v>
      </x:c>
      <x:c r="B46" s="2" t="str">
        <x:v>A</x:v>
      </x:c>
      <x:c r="C46" s="10" t="n">
        <x:v>-2.072650011309407</x:v>
      </x:c>
      <x:c r="D46" s="10" t="n">
        <x:v>5.551115123125783e-14</x:v>
      </x:c>
      <x:c r="E46" s="10" t="n">
        <x:v>-1.1948572298539073</x:v>
      </x:c>
      <x:c r="F46" s="10" t="n">
        <x:v>5.551115123125783e-14</x:v>
      </x:c>
      <x:c r="G46" s="2" t="n">
        <x:v>2025</x:v>
      </x:c>
      <x:c r="H46" s="2" t="str">
        <x:v>[215, 30, 290, 57]</x:v>
      </x:c>
    </x:row>
    <x:row r="47" ht="24" customHeight="1">
      <x:c r="A47" s="2" t="str">
        <x:v>上方背景右</x:v>
      </x:c>
      <x:c r="B47" s="2" t="str">
        <x:v>B</x:v>
      </x:c>
      <x:c r="C47" s="10" t="n">
        <x:v>-1.8695359856793825</x:v>
      </x:c>
      <x:c r="D47" s="10" t="n">
        <x:v>0.7602208759951656</x:v>
      </x:c>
      <x:c r="E47" s="10" t="n">
        <x:v>-0.9835198738828321</x:v>
      </x:c>
      <x:c r="F47" s="10" t="n">
        <x:v>0.2585431352553291</x:v>
      </x:c>
      <x:c r="G47" s="2" t="n">
        <x:v>2025</x:v>
      </x:c>
      <x:c r="H47" s="2" t="str">
        <x:v>[215, 30, 290, 57]</x:v>
      </x:c>
    </x:row>
    <x:row r="48" ht="24" customHeight="1">
      <x:c r="A48" s="2" t="str">
        <x:v>下方背景</x:v>
      </x:c>
      <x:c r="B48" s="2" t="str">
        <x:v>L</x:v>
      </x:c>
      <x:c r="C48" s="10" t="n">
        <x:v>72.47905234392405</x:v>
      </x:c>
      <x:c r="D48" s="10" t="n">
        <x:v>80.94094043436183</x:v>
      </x:c>
      <x:c r="E48" s="10" t="n">
        <x:v>73.57422421947244</x:v>
      </x:c>
      <x:c r="F48" s="10" t="n">
        <x:v>80.19357216230911</x:v>
      </x:c>
      <x:c r="G48" s="2" t="n">
        <x:v>2860</x:v>
      </x:c>
      <x:c r="H48" s="2" t="str">
        <x:v>[30, 91, 290, 102]</x:v>
      </x:c>
    </x:row>
    <x:row r="49" ht="24" customHeight="1">
      <x:c r="A49" s="2" t="str">
        <x:v>下方背景</x:v>
      </x:c>
      <x:c r="B49" s="2" t="str">
        <x:v>A</x:v>
      </x:c>
      <x:c r="C49" s="10" t="n">
        <x:v>-3.9248905483384444</x:v>
      </x:c>
      <x:c r="D49" s="10" t="n">
        <x:v>2.841934347949049</x:v>
      </x:c>
      <x:c r="E49" s="10" t="n">
        <x:v>-1.426305980782805</x:v>
      </x:c>
      <x:c r="F49" s="10" t="n">
        <x:v>2.099230852942058</x:v>
      </x:c>
      <x:c r="G49" s="2" t="n">
        <x:v>2860</x:v>
      </x:c>
      <x:c r="H49" s="2" t="str">
        <x:v>[30, 91, 290, 102]</x:v>
      </x:c>
    </x:row>
    <x:row r="50" ht="24" customHeight="1">
      <x:c r="A50" s="2" t="str">
        <x:v>下方背景</x:v>
      </x:c>
      <x:c r="B50" s="2" t="str">
        <x:v>B</x:v>
      </x:c>
      <x:c r="C50" s="10" t="n">
        <x:v>-2.030824810107301</x:v>
      </x:c>
      <x:c r="D50" s="10" t="n">
        <x:v>3.0721500286808867</x:v>
      </x:c>
      <x:c r="E50" s="10" t="n">
        <x:v>-1.2573044846401205</x:v>
      </x:c>
      <x:c r="F50" s="10" t="n">
        <x:v>1.8747146858249408</x:v>
      </x:c>
      <x:c r="G50" s="2" t="n">
        <x:v>2860</x:v>
      </x:c>
      <x:c r="H50" s="2" t="str">
        <x:v>[30, 91, 290, 102]</x:v>
      </x:c>
    </x:row>
    <x:row r="51" ht="24" customHeight="1">
      <x:c r="A51" s="2"/>
      <x:c r="B51" s="2"/>
      <x:c r="C51" s="2"/>
      <x:c r="D51" s="2"/>
      <x:c r="E51" s="2"/>
      <x:c r="F51" s="2"/>
      <x:c r="G51" s="2"/>
      <x:c r="H51" s="2"/>
    </x:row>
    <x:row r="52" ht="24" customHeight="1">
      <x:c r="A52" s="2" t="str">
        <x:v>色彩换算：https://docs.opencv.org/4.x/de/d25/imgproc_color_conversions.html</x:v>
      </x:c>
      <x:c r="B52" s="2"/>
      <x:c r="C52" s="2"/>
      <x:c r="D52" s="2"/>
      <x:c r="E52" s="2"/>
      <x:c r="F52" s="2"/>
      <x:c r="G52" s="2"/>
      <x:c r="H52" s="2"/>
    </x:row>
    <x:row r="53" ht="24" customHeight="1">
      <x:c r="A53" s="2" t="str">
        <x:v>阈值与回归接口：https://wiki.sipeed.com/maixpy/api/maix/image.html</x:v>
      </x:c>
      <x:c r="B53" s="2"/>
      <x:c r="C53" s="2"/>
      <x:c r="D53" s="2"/>
      <x:c r="E53" s="2"/>
      <x:c r="F53" s="2"/>
      <x:c r="G53" s="2"/>
      <x:c r="H53" s="2"/>
    </x:row>
    <x:row r="54" ht="24" customHeight="1">
      <x:c r="A54" s="2" t="str">
        <x:v>连通分量：8 邻域；闭运算后开运算。未复现 MaixPy margin=2 合并或固件回归实现。</x:v>
      </x:c>
      <x:c r="B54" s="2"/>
      <x:c r="C54" s="2"/>
      <x:c r="D54" s="2"/>
      <x:c r="E54" s="2"/>
      <x:c r="F54" s="2"/>
      <x:c r="G54" s="2"/>
      <x:c r="H54" s="2"/>
    </x:row>
    <x:row r="55" ht="24" customHeight="1">
      <x:c r="A55" s="2" t="str">
        <x:v>以下是保留的逐列边界读数。中心列为公式，支持手动修订边界后重算。</x:v>
      </x:c>
      <x:c r="B55" s="2"/>
      <x:c r="C55" s="2"/>
      <x:c r="D55" s="2"/>
      <x:c r="E55" s="2"/>
      <x:c r="F55" s="2"/>
      <x:c r="G55" s="2"/>
      <x:c r="H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</x:row>
    <x:row r="57" ht="38" customHeight="1">
      <x:c r="A57" s="20" t="str">
        <x:v>x 坐标 (px)</x:v>
      </x:c>
      <x:c r="B57" s="20" t="str">
        <x:v>上缘 y (px)</x:v>
      </x:c>
      <x:c r="C57" s="20" t="str">
        <x:v>可见下缘 y (px)</x:v>
      </x:c>
      <x:c r="D57" s="20" t="str">
        <x:v>中心 y (px)</x:v>
      </x:c>
      <x:c r="E57" s="2"/>
      <x:c r="F57" s="2"/>
      <x:c r="G57" s="2"/>
      <x:c r="H57" s="2"/>
    </x:row>
    <x:row r="58" ht="24" customHeight="1">
      <x:c r="A58" s="2" t="n">
        <x:v>25</x:v>
      </x:c>
      <x:c r="B58" s="7" t="n">
        <x:v>68</x:v>
      </x:c>
      <x:c r="C58" s="7" t="n">
        <x:v>81</x:v>
      </x:c>
      <x:c r="D58" s="11" t="n">
        <x:f>(B58+C58)/2</x:f>
        <x:v>74.5</x:v>
      </x:c>
      <x:c r="E58" s="2"/>
      <x:c r="F58" s="2"/>
      <x:c r="G58" s="2"/>
      <x:c r="H58" s="2"/>
    </x:row>
    <x:row r="59" ht="24" customHeight="1">
      <x:c r="A59" s="2" t="n">
        <x:v>26</x:v>
      </x:c>
      <x:c r="B59" s="7" t="n">
        <x:v>68</x:v>
      </x:c>
      <x:c r="C59" s="7" t="n">
        <x:v>81</x:v>
      </x:c>
      <x:c r="D59" s="11" t="n">
        <x:f>(B59+C59)/2</x:f>
        <x:v>74.5</x:v>
      </x:c>
      <x:c r="E59" s="2"/>
      <x:c r="F59" s="2"/>
      <x:c r="G59" s="2"/>
      <x:c r="H59" s="2"/>
    </x:row>
    <x:row r="60" ht="24" customHeight="1">
      <x:c r="A60" s="2" t="n">
        <x:v>27</x:v>
      </x:c>
      <x:c r="B60" s="7" t="n">
        <x:v>68</x:v>
      </x:c>
      <x:c r="C60" s="7" t="n">
        <x:v>81</x:v>
      </x:c>
      <x:c r="D60" s="11" t="n">
        <x:f>(B60+C60)/2</x:f>
        <x:v>74.5</x:v>
      </x:c>
      <x:c r="E60" s="2"/>
      <x:c r="F60" s="2"/>
      <x:c r="G60" s="2"/>
      <x:c r="H60" s="2"/>
    </x:row>
    <x:row r="61" ht="24" customHeight="1">
      <x:c r="A61" s="2" t="n">
        <x:v>28</x:v>
      </x:c>
      <x:c r="B61" s="7" t="n">
        <x:v>68</x:v>
      </x:c>
      <x:c r="C61" s="7" t="n">
        <x:v>81</x:v>
      </x:c>
      <x:c r="D61" s="11" t="n">
        <x:f>(B61+C61)/2</x:f>
        <x:v>74.5</x:v>
      </x:c>
      <x:c r="E61" s="2"/>
      <x:c r="F61" s="2"/>
      <x:c r="G61" s="2"/>
      <x:c r="H61" s="2"/>
    </x:row>
    <x:row r="62" ht="24" customHeight="1">
      <x:c r="A62" s="2" t="n">
        <x:v>29</x:v>
      </x:c>
      <x:c r="B62" s="7" t="n">
        <x:v>68</x:v>
      </x:c>
      <x:c r="C62" s="7" t="n">
        <x:v>81</x:v>
      </x:c>
      <x:c r="D62" s="11" t="n">
        <x:f>(B62+C62)/2</x:f>
        <x:v>74.5</x:v>
      </x:c>
      <x:c r="E62" s="2"/>
      <x:c r="F62" s="2"/>
      <x:c r="G62" s="2"/>
      <x:c r="H62" s="2"/>
    </x:row>
    <x:row r="63" ht="24" customHeight="1">
      <x:c r="A63" s="2" t="n">
        <x:v>30</x:v>
      </x:c>
      <x:c r="B63" s="7" t="n">
        <x:v>68</x:v>
      </x:c>
      <x:c r="C63" s="7" t="n">
        <x:v>81</x:v>
      </x:c>
      <x:c r="D63" s="11" t="n">
        <x:f>(B63+C63)/2</x:f>
        <x:v>74.5</x:v>
      </x:c>
      <x:c r="E63" s="2"/>
      <x:c r="F63" s="2"/>
      <x:c r="G63" s="2"/>
      <x:c r="H63" s="2"/>
    </x:row>
    <x:row r="64" ht="24" customHeight="1">
      <x:c r="A64" s="2" t="n">
        <x:v>31</x:v>
      </x:c>
      <x:c r="B64" s="7" t="n">
        <x:v>68</x:v>
      </x:c>
      <x:c r="C64" s="7" t="n">
        <x:v>81</x:v>
      </x:c>
      <x:c r="D64" s="11" t="n">
        <x:f>(B64+C64)/2</x:f>
        <x:v>74.5</x:v>
      </x:c>
      <x:c r="E64" s="2"/>
      <x:c r="F64" s="2"/>
      <x:c r="G64" s="2"/>
      <x:c r="H64" s="2"/>
    </x:row>
    <x:row r="65" ht="24" customHeight="1">
      <x:c r="A65" s="2" t="n">
        <x:v>32</x:v>
      </x:c>
      <x:c r="B65" s="7" t="n">
        <x:v>68</x:v>
      </x:c>
      <x:c r="C65" s="7" t="n">
        <x:v>81</x:v>
      </x:c>
      <x:c r="D65" s="11" t="n">
        <x:f>(B65+C65)/2</x:f>
        <x:v>74.5</x:v>
      </x:c>
      <x:c r="E65" s="2"/>
      <x:c r="F65" s="2"/>
      <x:c r="G65" s="2"/>
      <x:c r="H65" s="2"/>
    </x:row>
    <x:row r="66" ht="24" customHeight="1">
      <x:c r="A66" s="2" t="n">
        <x:v>33</x:v>
      </x:c>
      <x:c r="B66" s="7" t="n">
        <x:v>68</x:v>
      </x:c>
      <x:c r="C66" s="7" t="n">
        <x:v>81</x:v>
      </x:c>
      <x:c r="D66" s="11" t="n">
        <x:f>(B66+C66)/2</x:f>
        <x:v>74.5</x:v>
      </x:c>
      <x:c r="E66" s="2"/>
      <x:c r="F66" s="2"/>
      <x:c r="G66" s="2"/>
      <x:c r="H66" s="2"/>
    </x:row>
    <x:row r="67" ht="24" customHeight="1">
      <x:c r="A67" s="2" t="n">
        <x:v>34</x:v>
      </x:c>
      <x:c r="B67" s="7" t="n">
        <x:v>68</x:v>
      </x:c>
      <x:c r="C67" s="7" t="n">
        <x:v>81</x:v>
      </x:c>
      <x:c r="D67" s="11" t="n">
        <x:f>(B67+C67)/2</x:f>
        <x:v>74.5</x:v>
      </x:c>
      <x:c r="E67" s="2"/>
      <x:c r="F67" s="2"/>
      <x:c r="G67" s="2"/>
      <x:c r="H67" s="2"/>
    </x:row>
    <x:row r="68" ht="24" customHeight="1">
      <x:c r="A68" s="2" t="n">
        <x:v>35</x:v>
      </x:c>
      <x:c r="B68" s="7" t="n">
        <x:v>68</x:v>
      </x:c>
      <x:c r="C68" s="7" t="n">
        <x:v>81</x:v>
      </x:c>
      <x:c r="D68" s="11" t="n">
        <x:f>(B68+C68)/2</x:f>
        <x:v>74.5</x:v>
      </x:c>
      <x:c r="E68" s="2"/>
      <x:c r="F68" s="2"/>
      <x:c r="G68" s="2"/>
      <x:c r="H68" s="2"/>
    </x:row>
    <x:row r="69" ht="24" customHeight="1">
      <x:c r="A69" s="2" t="n">
        <x:v>36</x:v>
      </x:c>
      <x:c r="B69" s="7" t="n">
        <x:v>68</x:v>
      </x:c>
      <x:c r="C69" s="7" t="n">
        <x:v>81</x:v>
      </x:c>
      <x:c r="D69" s="11" t="n">
        <x:f>(B69+C69)/2</x:f>
        <x:v>74.5</x:v>
      </x:c>
      <x:c r="E69" s="2"/>
      <x:c r="F69" s="2"/>
      <x:c r="G69" s="2"/>
      <x:c r="H69" s="2"/>
    </x:row>
    <x:row r="70" ht="24" customHeight="1">
      <x:c r="A70" s="2" t="n">
        <x:v>37</x:v>
      </x:c>
      <x:c r="B70" s="7" t="n">
        <x:v>68</x:v>
      </x:c>
      <x:c r="C70" s="7" t="n">
        <x:v>81</x:v>
      </x:c>
      <x:c r="D70" s="11" t="n">
        <x:f>(B70+C70)/2</x:f>
        <x:v>74.5</x:v>
      </x:c>
      <x:c r="E70" s="2"/>
      <x:c r="F70" s="2"/>
      <x:c r="G70" s="2"/>
      <x:c r="H70" s="2"/>
    </x:row>
    <x:row r="71" ht="24" customHeight="1">
      <x:c r="A71" s="2" t="n">
        <x:v>38</x:v>
      </x:c>
      <x:c r="B71" s="7" t="n">
        <x:v>68</x:v>
      </x:c>
      <x:c r="C71" s="7" t="n">
        <x:v>81</x:v>
      </x:c>
      <x:c r="D71" s="11" t="n">
        <x:f>(B71+C71)/2</x:f>
        <x:v>74.5</x:v>
      </x:c>
      <x:c r="E71" s="2"/>
      <x:c r="F71" s="2"/>
      <x:c r="G71" s="2"/>
      <x:c r="H71" s="2"/>
    </x:row>
    <x:row r="72" ht="24" customHeight="1">
      <x:c r="A72" s="2" t="n">
        <x:v>39</x:v>
      </x:c>
      <x:c r="B72" s="7" t="n">
        <x:v>68</x:v>
      </x:c>
      <x:c r="C72" s="7" t="n">
        <x:v>81</x:v>
      </x:c>
      <x:c r="D72" s="11" t="n">
        <x:f>(B72+C72)/2</x:f>
        <x:v>74.5</x:v>
      </x:c>
      <x:c r="E72" s="2"/>
      <x:c r="F72" s="2"/>
      <x:c r="G72" s="2"/>
      <x:c r="H72" s="2"/>
    </x:row>
    <x:row r="73" ht="24" customHeight="1">
      <x:c r="A73" s="2" t="n">
        <x:v>40</x:v>
      </x:c>
      <x:c r="B73" s="7" t="n">
        <x:v>68</x:v>
      </x:c>
      <x:c r="C73" s="7" t="n">
        <x:v>81</x:v>
      </x:c>
      <x:c r="D73" s="11" t="n">
        <x:f>(B73+C73)/2</x:f>
        <x:v>74.5</x:v>
      </x:c>
      <x:c r="E73" s="2"/>
      <x:c r="F73" s="2"/>
      <x:c r="G73" s="2"/>
      <x:c r="H73" s="2"/>
    </x:row>
    <x:row r="74" ht="24" customHeight="1">
      <x:c r="A74" s="2" t="n">
        <x:v>41</x:v>
      </x:c>
      <x:c r="B74" s="7" t="n">
        <x:v>68</x:v>
      </x:c>
      <x:c r="C74" s="7" t="n">
        <x:v>81</x:v>
      </x:c>
      <x:c r="D74" s="11" t="n">
        <x:f>(B74+C74)/2</x:f>
        <x:v>74.5</x:v>
      </x:c>
      <x:c r="E74" s="2"/>
      <x:c r="F74" s="2"/>
      <x:c r="G74" s="2"/>
      <x:c r="H74" s="2"/>
    </x:row>
    <x:row r="75" ht="24" customHeight="1">
      <x:c r="A75" s="2" t="n">
        <x:v>42</x:v>
      </x:c>
      <x:c r="B75" s="7" t="n">
        <x:v>68</x:v>
      </x:c>
      <x:c r="C75" s="7" t="n">
        <x:v>81</x:v>
      </x:c>
      <x:c r="D75" s="11" t="n">
        <x:f>(B75+C75)/2</x:f>
        <x:v>74.5</x:v>
      </x:c>
      <x:c r="E75" s="2"/>
      <x:c r="F75" s="2"/>
      <x:c r="G75" s="2"/>
      <x:c r="H75" s="2"/>
    </x:row>
    <x:row r="76" ht="24" customHeight="1">
      <x:c r="A76" s="2" t="n">
        <x:v>43</x:v>
      </x:c>
      <x:c r="B76" s="7" t="n">
        <x:v>68</x:v>
      </x:c>
      <x:c r="C76" s="7" t="n">
        <x:v>81</x:v>
      </x:c>
      <x:c r="D76" s="11" t="n">
        <x:f>(B76+C76)/2</x:f>
        <x:v>74.5</x:v>
      </x:c>
      <x:c r="E76" s="2"/>
      <x:c r="F76" s="2"/>
      <x:c r="G76" s="2"/>
      <x:c r="H76" s="2"/>
    </x:row>
    <x:row r="77" ht="24" customHeight="1">
      <x:c r="A77" s="2" t="n">
        <x:v>44</x:v>
      </x:c>
      <x:c r="B77" s="7" t="n">
        <x:v>68</x:v>
      </x:c>
      <x:c r="C77" s="7" t="n">
        <x:v>81</x:v>
      </x:c>
      <x:c r="D77" s="11" t="n">
        <x:f>(B77+C77)/2</x:f>
        <x:v>74.5</x:v>
      </x:c>
      <x:c r="E77" s="2"/>
      <x:c r="F77" s="2"/>
      <x:c r="G77" s="2"/>
      <x:c r="H77" s="2"/>
    </x:row>
    <x:row r="78" ht="24" customHeight="1">
      <x:c r="A78" s="2" t="n">
        <x:v>45</x:v>
      </x:c>
      <x:c r="B78" s="7" t="n">
        <x:v>68</x:v>
      </x:c>
      <x:c r="C78" s="7" t="n">
        <x:v>81</x:v>
      </x:c>
      <x:c r="D78" s="11" t="n">
        <x:f>(B78+C78)/2</x:f>
        <x:v>74.5</x:v>
      </x:c>
      <x:c r="E78" s="2"/>
      <x:c r="F78" s="2"/>
      <x:c r="G78" s="2"/>
      <x:c r="H78" s="2"/>
    </x:row>
    <x:row r="79" ht="24" customHeight="1">
      <x:c r="A79" s="2" t="n">
        <x:v>46</x:v>
      </x:c>
      <x:c r="B79" s="7" t="n">
        <x:v>68</x:v>
      </x:c>
      <x:c r="C79" s="7" t="n">
        <x:v>81</x:v>
      </x:c>
      <x:c r="D79" s="11" t="n">
        <x:f>(B79+C79)/2</x:f>
        <x:v>74.5</x:v>
      </x:c>
      <x:c r="E79" s="2"/>
      <x:c r="F79" s="2"/>
      <x:c r="G79" s="2"/>
      <x:c r="H79" s="2"/>
    </x:row>
    <x:row r="80" ht="24" customHeight="1">
      <x:c r="A80" s="2" t="n">
        <x:v>47</x:v>
      </x:c>
      <x:c r="B80" s="7" t="n">
        <x:v>68</x:v>
      </x:c>
      <x:c r="C80" s="7" t="n">
        <x:v>81</x:v>
      </x:c>
      <x:c r="D80" s="11" t="n">
        <x:f>(B80+C80)/2</x:f>
        <x:v>74.5</x:v>
      </x:c>
      <x:c r="E80" s="2"/>
      <x:c r="F80" s="2"/>
      <x:c r="G80" s="2"/>
      <x:c r="H80" s="2"/>
    </x:row>
    <x:row r="81" ht="24" customHeight="1">
      <x:c r="A81" s="2" t="n">
        <x:v>48</x:v>
      </x:c>
      <x:c r="B81" s="7" t="n">
        <x:v>68</x:v>
      </x:c>
      <x:c r="C81" s="7" t="n">
        <x:v>81</x:v>
      </x:c>
      <x:c r="D81" s="11" t="n">
        <x:f>(B81+C81)/2</x:f>
        <x:v>74.5</x:v>
      </x:c>
      <x:c r="E81" s="2"/>
      <x:c r="F81" s="2"/>
      <x:c r="G81" s="2"/>
      <x:c r="H81" s="2"/>
    </x:row>
    <x:row r="82" ht="24" customHeight="1">
      <x:c r="A82" s="2" t="n">
        <x:v>49</x:v>
      </x:c>
      <x:c r="B82" s="7" t="n">
        <x:v>68</x:v>
      </x:c>
      <x:c r="C82" s="7" t="n">
        <x:v>81</x:v>
      </x:c>
      <x:c r="D82" s="11" t="n">
        <x:f>(B82+C82)/2</x:f>
        <x:v>74.5</x:v>
      </x:c>
      <x:c r="E82" s="2"/>
      <x:c r="F82" s="2"/>
      <x:c r="G82" s="2"/>
      <x:c r="H82" s="2"/>
    </x:row>
    <x:row r="83" ht="24" customHeight="1">
      <x:c r="A83" s="2" t="n">
        <x:v>50</x:v>
      </x:c>
      <x:c r="B83" s="7" t="n">
        <x:v>68</x:v>
      </x:c>
      <x:c r="C83" s="7" t="n">
        <x:v>81</x:v>
      </x:c>
      <x:c r="D83" s="11" t="n">
        <x:f>(B83+C83)/2</x:f>
        <x:v>74.5</x:v>
      </x:c>
      <x:c r="E83" s="2"/>
      <x:c r="F83" s="2"/>
      <x:c r="G83" s="2"/>
      <x:c r="H83" s="2"/>
    </x:row>
    <x:row r="84" ht="24" customHeight="1">
      <x:c r="A84" s="2" t="n">
        <x:v>51</x:v>
      </x:c>
      <x:c r="B84" s="7" t="n">
        <x:v>68</x:v>
      </x:c>
      <x:c r="C84" s="7" t="n">
        <x:v>81</x:v>
      </x:c>
      <x:c r="D84" s="11" t="n">
        <x:f>(B84+C84)/2</x:f>
        <x:v>74.5</x:v>
      </x:c>
      <x:c r="E84" s="2"/>
      <x:c r="F84" s="2"/>
      <x:c r="G84" s="2"/>
      <x:c r="H84" s="2"/>
    </x:row>
    <x:row r="85" ht="24" customHeight="1">
      <x:c r="A85" s="2" t="n">
        <x:v>52</x:v>
      </x:c>
      <x:c r="B85" s="7" t="n">
        <x:v>68</x:v>
      </x:c>
      <x:c r="C85" s="7" t="n">
        <x:v>81</x:v>
      </x:c>
      <x:c r="D85" s="11" t="n">
        <x:f>(B85+C85)/2</x:f>
        <x:v>74.5</x:v>
      </x:c>
      <x:c r="E85" s="2"/>
      <x:c r="F85" s="2"/>
      <x:c r="G85" s="2"/>
      <x:c r="H85" s="2"/>
    </x:row>
    <x:row r="86" ht="24" customHeight="1">
      <x:c r="A86" s="2" t="n">
        <x:v>53</x:v>
      </x:c>
      <x:c r="B86" s="7" t="n">
        <x:v>68</x:v>
      </x:c>
      <x:c r="C86" s="7" t="n">
        <x:v>81</x:v>
      </x:c>
      <x:c r="D86" s="11" t="n">
        <x:f>(B86+C86)/2</x:f>
        <x:v>74.5</x:v>
      </x:c>
      <x:c r="E86" s="2"/>
      <x:c r="F86" s="2"/>
      <x:c r="G86" s="2"/>
      <x:c r="H86" s="2"/>
    </x:row>
    <x:row r="87" ht="24" customHeight="1">
      <x:c r="A87" s="2" t="n">
        <x:v>54</x:v>
      </x:c>
      <x:c r="B87" s="7" t="n">
        <x:v>68</x:v>
      </x:c>
      <x:c r="C87" s="7" t="n">
        <x:v>81</x:v>
      </x:c>
      <x:c r="D87" s="11" t="n">
        <x:f>(B87+C87)/2</x:f>
        <x:v>74.5</x:v>
      </x:c>
      <x:c r="E87" s="2"/>
      <x:c r="F87" s="2"/>
      <x:c r="G87" s="2"/>
      <x:c r="H87" s="2"/>
    </x:row>
    <x:row r="88" ht="24" customHeight="1">
      <x:c r="A88" s="2" t="n">
        <x:v>55</x:v>
      </x:c>
      <x:c r="B88" s="7" t="n">
        <x:v>68</x:v>
      </x:c>
      <x:c r="C88" s="7" t="n">
        <x:v>81</x:v>
      </x:c>
      <x:c r="D88" s="11" t="n">
        <x:f>(B88+C88)/2</x:f>
        <x:v>74.5</x:v>
      </x:c>
      <x:c r="E88" s="2"/>
      <x:c r="F88" s="2"/>
      <x:c r="G88" s="2"/>
      <x:c r="H88" s="2"/>
    </x:row>
    <x:row r="89" ht="24" customHeight="1">
      <x:c r="A89" s="2" t="n">
        <x:v>56</x:v>
      </x:c>
      <x:c r="B89" s="7" t="n">
        <x:v>68</x:v>
      </x:c>
      <x:c r="C89" s="7" t="n">
        <x:v>81</x:v>
      </x:c>
      <x:c r="D89" s="11" t="n">
        <x:f>(B89+C89)/2</x:f>
        <x:v>74.5</x:v>
      </x:c>
      <x:c r="E89" s="2"/>
      <x:c r="F89" s="2"/>
      <x:c r="G89" s="2"/>
      <x:c r="H89" s="2"/>
    </x:row>
    <x:row r="90" ht="24" customHeight="1">
      <x:c r="A90" s="2" t="n">
        <x:v>57</x:v>
      </x:c>
      <x:c r="B90" s="7" t="n">
        <x:v>68</x:v>
      </x:c>
      <x:c r="C90" s="7" t="n">
        <x:v>81</x:v>
      </x:c>
      <x:c r="D90" s="11" t="n">
        <x:f>(B90+C90)/2</x:f>
        <x:v>74.5</x:v>
      </x:c>
      <x:c r="E90" s="2"/>
      <x:c r="F90" s="2"/>
      <x:c r="G90" s="2"/>
      <x:c r="H90" s="2"/>
    </x:row>
    <x:row r="91" ht="24" customHeight="1">
      <x:c r="A91" s="2" t="n">
        <x:v>58</x:v>
      </x:c>
      <x:c r="B91" s="7" t="n">
        <x:v>68</x:v>
      </x:c>
      <x:c r="C91" s="7" t="n">
        <x:v>81</x:v>
      </x:c>
      <x:c r="D91" s="11" t="n">
        <x:f>(B91+C91)/2</x:f>
        <x:v>74.5</x:v>
      </x:c>
      <x:c r="E91" s="2"/>
      <x:c r="F91" s="2"/>
      <x:c r="G91" s="2"/>
      <x:c r="H91" s="2"/>
    </x:row>
    <x:row r="92" ht="24" customHeight="1">
      <x:c r="A92" s="2" t="n">
        <x:v>59</x:v>
      </x:c>
      <x:c r="B92" s="7" t="n">
        <x:v>68</x:v>
      </x:c>
      <x:c r="C92" s="7" t="n">
        <x:v>81</x:v>
      </x:c>
      <x:c r="D92" s="11" t="n">
        <x:f>(B92+C92)/2</x:f>
        <x:v>74.5</x:v>
      </x:c>
      <x:c r="E92" s="2"/>
      <x:c r="F92" s="2"/>
      <x:c r="G92" s="2"/>
      <x:c r="H92" s="2"/>
    </x:row>
    <x:row r="93" ht="24" customHeight="1">
      <x:c r="A93" s="2" t="n">
        <x:v>60</x:v>
      </x:c>
      <x:c r="B93" s="7" t="n">
        <x:v>68</x:v>
      </x:c>
      <x:c r="C93" s="7" t="n">
        <x:v>81</x:v>
      </x:c>
      <x:c r="D93" s="11" t="n">
        <x:f>(B93+C93)/2</x:f>
        <x:v>74.5</x:v>
      </x:c>
      <x:c r="E93" s="2"/>
      <x:c r="F93" s="2"/>
      <x:c r="G93" s="2"/>
      <x:c r="H93" s="2"/>
    </x:row>
    <x:row r="94" ht="24" customHeight="1">
      <x:c r="A94" s="2" t="n">
        <x:v>61</x:v>
      </x:c>
      <x:c r="B94" s="7" t="n">
        <x:v>68</x:v>
      </x:c>
      <x:c r="C94" s="7" t="n">
        <x:v>81</x:v>
      </x:c>
      <x:c r="D94" s="11" t="n">
        <x:f>(B94+C94)/2</x:f>
        <x:v>74.5</x:v>
      </x:c>
      <x:c r="E94" s="2"/>
      <x:c r="F94" s="2"/>
      <x:c r="G94" s="2"/>
      <x:c r="H94" s="2"/>
    </x:row>
    <x:row r="95" ht="24" customHeight="1">
      <x:c r="A95" s="2" t="n">
        <x:v>62</x:v>
      </x:c>
      <x:c r="B95" s="7" t="n">
        <x:v>68</x:v>
      </x:c>
      <x:c r="C95" s="7" t="n">
        <x:v>81</x:v>
      </x:c>
      <x:c r="D95" s="11" t="n">
        <x:f>(B95+C95)/2</x:f>
        <x:v>74.5</x:v>
      </x:c>
      <x:c r="E95" s="2"/>
      <x:c r="F95" s="2"/>
      <x:c r="G95" s="2"/>
      <x:c r="H95" s="2"/>
    </x:row>
    <x:row r="96" ht="24" customHeight="1">
      <x:c r="A96" s="2" t="n">
        <x:v>63</x:v>
      </x:c>
      <x:c r="B96" s="7" t="n">
        <x:v>68</x:v>
      </x:c>
      <x:c r="C96" s="7" t="n">
        <x:v>81</x:v>
      </x:c>
      <x:c r="D96" s="11" t="n">
        <x:f>(B96+C96)/2</x:f>
        <x:v>74.5</x:v>
      </x:c>
      <x:c r="E96" s="2"/>
      <x:c r="F96" s="2"/>
      <x:c r="G96" s="2"/>
      <x:c r="H96" s="2"/>
    </x:row>
    <x:row r="97" ht="24" customHeight="1">
      <x:c r="A97" s="2" t="n">
        <x:v>64</x:v>
      </x:c>
      <x:c r="B97" s="7" t="n">
        <x:v>68</x:v>
      </x:c>
      <x:c r="C97" s="7" t="n">
        <x:v>81</x:v>
      </x:c>
      <x:c r="D97" s="11" t="n">
        <x:f>(B97+C97)/2</x:f>
        <x:v>74.5</x:v>
      </x:c>
      <x:c r="E97" s="2"/>
      <x:c r="F97" s="2"/>
      <x:c r="G97" s="2"/>
      <x:c r="H97" s="2"/>
    </x:row>
    <x:row r="98" ht="24" customHeight="1">
      <x:c r="A98" s="2" t="n">
        <x:v>65</x:v>
      </x:c>
      <x:c r="B98" s="7" t="n">
        <x:v>68</x:v>
      </x:c>
      <x:c r="C98" s="7" t="n">
        <x:v>81</x:v>
      </x:c>
      <x:c r="D98" s="11" t="n">
        <x:f>(B98+C98)/2</x:f>
        <x:v>74.5</x:v>
      </x:c>
      <x:c r="E98" s="2"/>
      <x:c r="F98" s="2"/>
      <x:c r="G98" s="2"/>
      <x:c r="H98" s="2"/>
    </x:row>
    <x:row r="99" ht="24" customHeight="1">
      <x:c r="A99" s="2" t="n">
        <x:v>66</x:v>
      </x:c>
      <x:c r="B99" s="7" t="n">
        <x:v>68</x:v>
      </x:c>
      <x:c r="C99" s="7" t="n">
        <x:v>81</x:v>
      </x:c>
      <x:c r="D99" s="11" t="n">
        <x:f>(B99+C99)/2</x:f>
        <x:v>74.5</x:v>
      </x:c>
      <x:c r="E99" s="2"/>
      <x:c r="F99" s="2"/>
      <x:c r="G99" s="2"/>
      <x:c r="H99" s="2"/>
    </x:row>
    <x:row r="100" ht="24" customHeight="1">
      <x:c r="A100" s="2" t="n">
        <x:v>67</x:v>
      </x:c>
      <x:c r="B100" s="7" t="n">
        <x:v>68</x:v>
      </x:c>
      <x:c r="C100" s="7" t="n">
        <x:v>81</x:v>
      </x:c>
      <x:c r="D100" s="11" t="n">
        <x:f>(B100+C100)/2</x:f>
        <x:v>74.5</x:v>
      </x:c>
      <x:c r="E100" s="2"/>
      <x:c r="F100" s="2"/>
      <x:c r="G100" s="2"/>
      <x:c r="H100" s="2"/>
    </x:row>
    <x:row r="101" ht="24" customHeight="1">
      <x:c r="A101" s="2" t="n">
        <x:v>68</x:v>
      </x:c>
      <x:c r="B101" s="7" t="n">
        <x:v>68</x:v>
      </x:c>
      <x:c r="C101" s="7" t="n">
        <x:v>81</x:v>
      </x:c>
      <x:c r="D101" s="11" t="n">
        <x:f>(B101+C101)/2</x:f>
        <x:v>74.5</x:v>
      </x:c>
      <x:c r="E101" s="2"/>
      <x:c r="F101" s="2"/>
      <x:c r="G101" s="2"/>
      <x:c r="H101" s="2"/>
    </x:row>
    <x:row r="102" ht="24" customHeight="1">
      <x:c r="A102" s="2" t="n">
        <x:v>69</x:v>
      </x:c>
      <x:c r="B102" s="7" t="n">
        <x:v>68</x:v>
      </x:c>
      <x:c r="C102" s="7" t="n">
        <x:v>81</x:v>
      </x:c>
      <x:c r="D102" s="11" t="n">
        <x:f>(B102+C102)/2</x:f>
        <x:v>74.5</x:v>
      </x:c>
      <x:c r="E102" s="2"/>
      <x:c r="F102" s="2"/>
      <x:c r="G102" s="2"/>
      <x:c r="H102" s="2"/>
    </x:row>
    <x:row r="103" ht="24" customHeight="1">
      <x:c r="A103" s="2" t="n">
        <x:v>70</x:v>
      </x:c>
      <x:c r="B103" s="7" t="n">
        <x:v>68</x:v>
      </x:c>
      <x:c r="C103" s="7" t="n">
        <x:v>81</x:v>
      </x:c>
      <x:c r="D103" s="11" t="n">
        <x:f>(B103+C103)/2</x:f>
        <x:v>74.5</x:v>
      </x:c>
      <x:c r="E103" s="2"/>
      <x:c r="F103" s="2"/>
      <x:c r="G103" s="2"/>
      <x:c r="H103" s="2"/>
    </x:row>
    <x:row r="104" ht="24" customHeight="1">
      <x:c r="A104" s="2" t="n">
        <x:v>71</x:v>
      </x:c>
      <x:c r="B104" s="7" t="n">
        <x:v>68</x:v>
      </x:c>
      <x:c r="C104" s="7" t="n">
        <x:v>81</x:v>
      </x:c>
      <x:c r="D104" s="11" t="n">
        <x:f>(B104+C104)/2</x:f>
        <x:v>74.5</x:v>
      </x:c>
      <x:c r="E104" s="2"/>
      <x:c r="F104" s="2"/>
      <x:c r="G104" s="2"/>
      <x:c r="H104" s="2"/>
    </x:row>
    <x:row r="105" ht="24" customHeight="1">
      <x:c r="A105" s="2" t="n">
        <x:v>72</x:v>
      </x:c>
      <x:c r="B105" s="7" t="n">
        <x:v>68</x:v>
      </x:c>
      <x:c r="C105" s="7" t="n">
        <x:v>81</x:v>
      </x:c>
      <x:c r="D105" s="11" t="n">
        <x:f>(B105+C105)/2</x:f>
        <x:v>74.5</x:v>
      </x:c>
      <x:c r="E105" s="2"/>
      <x:c r="F105" s="2"/>
      <x:c r="G105" s="2"/>
      <x:c r="H105" s="2"/>
    </x:row>
    <x:row r="106" ht="24" customHeight="1">
      <x:c r="A106" s="2" t="n">
        <x:v>73</x:v>
      </x:c>
      <x:c r="B106" s="7" t="n">
        <x:v>68</x:v>
      </x:c>
      <x:c r="C106" s="7" t="n">
        <x:v>81</x:v>
      </x:c>
      <x:c r="D106" s="11" t="n">
        <x:f>(B106+C106)/2</x:f>
        <x:v>74.5</x:v>
      </x:c>
      <x:c r="E106" s="2"/>
      <x:c r="F106" s="2"/>
      <x:c r="G106" s="2"/>
      <x:c r="H106" s="2"/>
    </x:row>
    <x:row r="107" ht="24" customHeight="1">
      <x:c r="A107" s="2" t="n">
        <x:v>74</x:v>
      </x:c>
      <x:c r="B107" s="7" t="n">
        <x:v>68</x:v>
      </x:c>
      <x:c r="C107" s="7" t="n">
        <x:v>81</x:v>
      </x:c>
      <x:c r="D107" s="11" t="n">
        <x:f>(B107+C107)/2</x:f>
        <x:v>74.5</x:v>
      </x:c>
      <x:c r="E107" s="2"/>
      <x:c r="F107" s="2"/>
      <x:c r="G107" s="2"/>
      <x:c r="H107" s="2"/>
    </x:row>
    <x:row r="108" ht="24" customHeight="1">
      <x:c r="A108" s="2" t="n">
        <x:v>75</x:v>
      </x:c>
      <x:c r="B108" s="7" t="n">
        <x:v>68</x:v>
      </x:c>
      <x:c r="C108" s="7" t="n">
        <x:v>81</x:v>
      </x:c>
      <x:c r="D108" s="11" t="n">
        <x:f>(B108+C108)/2</x:f>
        <x:v>74.5</x:v>
      </x:c>
      <x:c r="E108" s="2"/>
      <x:c r="F108" s="2"/>
      <x:c r="G108" s="2"/>
      <x:c r="H108" s="2"/>
    </x:row>
    <x:row r="109" ht="24" customHeight="1">
      <x:c r="A109" s="2" t="n">
        <x:v>76</x:v>
      </x:c>
      <x:c r="B109" s="7" t="n">
        <x:v>68</x:v>
      </x:c>
      <x:c r="C109" s="7" t="n">
        <x:v>81</x:v>
      </x:c>
      <x:c r="D109" s="11" t="n">
        <x:f>(B109+C109)/2</x:f>
        <x:v>74.5</x:v>
      </x:c>
      <x:c r="E109" s="2"/>
      <x:c r="F109" s="2"/>
      <x:c r="G109" s="2"/>
      <x:c r="H109" s="2"/>
    </x:row>
    <x:row r="110" ht="24" customHeight="1">
      <x:c r="A110" s="2" t="n">
        <x:v>77</x:v>
      </x:c>
      <x:c r="B110" s="7" t="n">
        <x:v>68</x:v>
      </x:c>
      <x:c r="C110" s="7" t="n">
        <x:v>81</x:v>
      </x:c>
      <x:c r="D110" s="11" t="n">
        <x:f>(B110+C110)/2</x:f>
        <x:v>74.5</x:v>
      </x:c>
      <x:c r="E110" s="2"/>
      <x:c r="F110" s="2"/>
      <x:c r="G110" s="2"/>
      <x:c r="H110" s="2"/>
    </x:row>
    <x:row r="111" ht="24" customHeight="1">
      <x:c r="A111" s="2" t="n">
        <x:v>78</x:v>
      </x:c>
      <x:c r="B111" s="7" t="n">
        <x:v>68</x:v>
      </x:c>
      <x:c r="C111" s="7" t="n">
        <x:v>81</x:v>
      </x:c>
      <x:c r="D111" s="11" t="n">
        <x:f>(B111+C111)/2</x:f>
        <x:v>74.5</x:v>
      </x:c>
      <x:c r="E111" s="2"/>
      <x:c r="F111" s="2"/>
      <x:c r="G111" s="2"/>
      <x:c r="H111" s="2"/>
    </x:row>
    <x:row r="112" ht="24" customHeight="1">
      <x:c r="A112" s="2" t="n">
        <x:v>79</x:v>
      </x:c>
      <x:c r="B112" s="7" t="n">
        <x:v>68</x:v>
      </x:c>
      <x:c r="C112" s="7" t="n">
        <x:v>81</x:v>
      </x:c>
      <x:c r="D112" s="11" t="n">
        <x:f>(B112+C112)/2</x:f>
        <x:v>74.5</x:v>
      </x:c>
      <x:c r="E112" s="2"/>
      <x:c r="F112" s="2"/>
      <x:c r="G112" s="2"/>
      <x:c r="H112" s="2"/>
    </x:row>
    <x:row r="113" ht="24" customHeight="1">
      <x:c r="A113" s="2" t="n">
        <x:v>80</x:v>
      </x:c>
      <x:c r="B113" s="7" t="n">
        <x:v>68</x:v>
      </x:c>
      <x:c r="C113" s="7" t="n">
        <x:v>81</x:v>
      </x:c>
      <x:c r="D113" s="11" t="n">
        <x:f>(B113+C113)/2</x:f>
        <x:v>74.5</x:v>
      </x:c>
      <x:c r="E113" s="2"/>
      <x:c r="F113" s="2"/>
      <x:c r="G113" s="2"/>
      <x:c r="H113" s="2"/>
    </x:row>
    <x:row r="114" ht="24" customHeight="1">
      <x:c r="A114" s="2" t="n">
        <x:v>81</x:v>
      </x:c>
      <x:c r="B114" s="7" t="n">
        <x:v>68</x:v>
      </x:c>
      <x:c r="C114" s="7" t="n">
        <x:v>81</x:v>
      </x:c>
      <x:c r="D114" s="11" t="n">
        <x:f>(B114+C114)/2</x:f>
        <x:v>74.5</x:v>
      </x:c>
      <x:c r="E114" s="2"/>
      <x:c r="F114" s="2"/>
      <x:c r="G114" s="2"/>
      <x:c r="H114" s="2"/>
    </x:row>
    <x:row r="115" ht="24" customHeight="1">
      <x:c r="A115" s="2" t="n">
        <x:v>82</x:v>
      </x:c>
      <x:c r="B115" s="7" t="n">
        <x:v>68</x:v>
      </x:c>
      <x:c r="C115" s="7" t="n">
        <x:v>81</x:v>
      </x:c>
      <x:c r="D115" s="11" t="n">
        <x:f>(B115+C115)/2</x:f>
        <x:v>74.5</x:v>
      </x:c>
      <x:c r="E115" s="2"/>
      <x:c r="F115" s="2"/>
      <x:c r="G115" s="2"/>
      <x:c r="H115" s="2"/>
    </x:row>
    <x:row r="116" ht="24" customHeight="1">
      <x:c r="A116" s="2" t="n">
        <x:v>83</x:v>
      </x:c>
      <x:c r="B116" s="7" t="n">
        <x:v>68</x:v>
      </x:c>
      <x:c r="C116" s="7" t="n">
        <x:v>81</x:v>
      </x:c>
      <x:c r="D116" s="11" t="n">
        <x:f>(B116+C116)/2</x:f>
        <x:v>74.5</x:v>
      </x:c>
      <x:c r="E116" s="2"/>
      <x:c r="F116" s="2"/>
      <x:c r="G116" s="2"/>
      <x:c r="H116" s="2"/>
    </x:row>
    <x:row r="117" ht="24" customHeight="1">
      <x:c r="A117" s="2" t="n">
        <x:v>84</x:v>
      </x:c>
      <x:c r="B117" s="7" t="n">
        <x:v>68</x:v>
      </x:c>
      <x:c r="C117" s="7" t="n">
        <x:v>81</x:v>
      </x:c>
      <x:c r="D117" s="11" t="n">
        <x:f>(B117+C117)/2</x:f>
        <x:v>74.5</x:v>
      </x:c>
      <x:c r="E117" s="2"/>
      <x:c r="F117" s="2"/>
      <x:c r="G117" s="2"/>
      <x:c r="H117" s="2"/>
    </x:row>
    <x:row r="118" ht="24" customHeight="1">
      <x:c r="A118" s="2" t="n">
        <x:v>85</x:v>
      </x:c>
      <x:c r="B118" s="7" t="n">
        <x:v>68</x:v>
      </x:c>
      <x:c r="C118" s="7" t="n">
        <x:v>81</x:v>
      </x:c>
      <x:c r="D118" s="11" t="n">
        <x:f>(B118+C118)/2</x:f>
        <x:v>74.5</x:v>
      </x:c>
      <x:c r="E118" s="2"/>
      <x:c r="F118" s="2"/>
      <x:c r="G118" s="2"/>
      <x:c r="H118" s="2"/>
    </x:row>
    <x:row r="119" ht="24" customHeight="1">
      <x:c r="A119" s="2" t="n">
        <x:v>86</x:v>
      </x:c>
      <x:c r="B119" s="7" t="n">
        <x:v>68</x:v>
      </x:c>
      <x:c r="C119" s="7" t="n">
        <x:v>81</x:v>
      </x:c>
      <x:c r="D119" s="11" t="n">
        <x:f>(B119+C119)/2</x:f>
        <x:v>74.5</x:v>
      </x:c>
      <x:c r="E119" s="2"/>
      <x:c r="F119" s="2"/>
      <x:c r="G119" s="2"/>
      <x:c r="H119" s="2"/>
    </x:row>
    <x:row r="120" ht="24" customHeight="1">
      <x:c r="A120" s="2" t="n">
        <x:v>87</x:v>
      </x:c>
      <x:c r="B120" s="7" t="n">
        <x:v>68</x:v>
      </x:c>
      <x:c r="C120" s="7" t="n">
        <x:v>81</x:v>
      </x:c>
      <x:c r="D120" s="11" t="n">
        <x:f>(B120+C120)/2</x:f>
        <x:v>74.5</x:v>
      </x:c>
      <x:c r="E120" s="2"/>
      <x:c r="F120" s="2"/>
      <x:c r="G120" s="2"/>
      <x:c r="H120" s="2"/>
    </x:row>
    <x:row r="121" ht="24" customHeight="1">
      <x:c r="A121" s="2" t="n">
        <x:v>88</x:v>
      </x:c>
      <x:c r="B121" s="7" t="n">
        <x:v>68</x:v>
      </x:c>
      <x:c r="C121" s="7" t="n">
        <x:v>81</x:v>
      </x:c>
      <x:c r="D121" s="11" t="n">
        <x:f>(B121+C121)/2</x:f>
        <x:v>74.5</x:v>
      </x:c>
      <x:c r="E121" s="2"/>
      <x:c r="F121" s="2"/>
      <x:c r="G121" s="2"/>
      <x:c r="H121" s="2"/>
    </x:row>
    <x:row r="122" ht="24" customHeight="1">
      <x:c r="A122" s="2" t="n">
        <x:v>89</x:v>
      </x:c>
      <x:c r="B122" s="7" t="n">
        <x:v>68</x:v>
      </x:c>
      <x:c r="C122" s="7" t="n">
        <x:v>81</x:v>
      </x:c>
      <x:c r="D122" s="11" t="n">
        <x:f>(B122+C122)/2</x:f>
        <x:v>74.5</x:v>
      </x:c>
      <x:c r="E122" s="2"/>
      <x:c r="F122" s="2"/>
      <x:c r="G122" s="2"/>
      <x:c r="H122" s="2"/>
    </x:row>
    <x:row r="123" ht="24" customHeight="1">
      <x:c r="A123" s="2" t="n">
        <x:v>90</x:v>
      </x:c>
      <x:c r="B123" s="7" t="n">
        <x:v>68</x:v>
      </x:c>
      <x:c r="C123" s="7" t="n">
        <x:v>81</x:v>
      </x:c>
      <x:c r="D123" s="11" t="n">
        <x:f>(B123+C123)/2</x:f>
        <x:v>74.5</x:v>
      </x:c>
      <x:c r="E123" s="2"/>
      <x:c r="F123" s="2"/>
      <x:c r="G123" s="2"/>
      <x:c r="H123" s="2"/>
    </x:row>
    <x:row r="124" ht="24" customHeight="1">
      <x:c r="A124" s="2" t="n">
        <x:v>91</x:v>
      </x:c>
      <x:c r="B124" s="7" t="n">
        <x:v>68</x:v>
      </x:c>
      <x:c r="C124" s="7" t="n">
        <x:v>81</x:v>
      </x:c>
      <x:c r="D124" s="11" t="n">
        <x:f>(B124+C124)/2</x:f>
        <x:v>74.5</x:v>
      </x:c>
      <x:c r="E124" s="2"/>
      <x:c r="F124" s="2"/>
      <x:c r="G124" s="2"/>
      <x:c r="H124" s="2"/>
    </x:row>
    <x:row r="125" ht="24" customHeight="1">
      <x:c r="A125" s="2" t="n">
        <x:v>92</x:v>
      </x:c>
      <x:c r="B125" s="7" t="n">
        <x:v>68</x:v>
      </x:c>
      <x:c r="C125" s="7" t="n">
        <x:v>81</x:v>
      </x:c>
      <x:c r="D125" s="11" t="n">
        <x:f>(B125+C125)/2</x:f>
        <x:v>74.5</x:v>
      </x:c>
      <x:c r="E125" s="2"/>
      <x:c r="F125" s="2"/>
      <x:c r="G125" s="2"/>
      <x:c r="H125" s="2"/>
    </x:row>
    <x:row r="126" ht="24" customHeight="1">
      <x:c r="A126" s="2" t="n">
        <x:v>93</x:v>
      </x:c>
      <x:c r="B126" s="7" t="n">
        <x:v>68</x:v>
      </x:c>
      <x:c r="C126" s="7" t="n">
        <x:v>81</x:v>
      </x:c>
      <x:c r="D126" s="11" t="n">
        <x:f>(B126+C126)/2</x:f>
        <x:v>74.5</x:v>
      </x:c>
      <x:c r="E126" s="2"/>
      <x:c r="F126" s="2"/>
      <x:c r="G126" s="2"/>
      <x:c r="H126" s="2"/>
    </x:row>
    <x:row r="127" ht="24" customHeight="1">
      <x:c r="A127" s="2" t="n">
        <x:v>94</x:v>
      </x:c>
      <x:c r="B127" s="7" t="n">
        <x:v>68</x:v>
      </x:c>
      <x:c r="C127" s="7" t="n">
        <x:v>81</x:v>
      </x:c>
      <x:c r="D127" s="11" t="n">
        <x:f>(B127+C127)/2</x:f>
        <x:v>74.5</x:v>
      </x:c>
      <x:c r="E127" s="2"/>
      <x:c r="F127" s="2"/>
      <x:c r="G127" s="2"/>
      <x:c r="H127" s="2"/>
    </x:row>
    <x:row r="128" ht="24" customHeight="1">
      <x:c r="A128" s="2" t="n">
        <x:v>95</x:v>
      </x:c>
      <x:c r="B128" s="7" t="n">
        <x:v>68</x:v>
      </x:c>
      <x:c r="C128" s="7" t="n">
        <x:v>81</x:v>
      </x:c>
      <x:c r="D128" s="11" t="n">
        <x:f>(B128+C128)/2</x:f>
        <x:v>74.5</x:v>
      </x:c>
      <x:c r="E128" s="2"/>
      <x:c r="F128" s="2"/>
      <x:c r="G128" s="2"/>
      <x:c r="H128" s="2"/>
    </x:row>
    <x:row r="129" ht="24" customHeight="1">
      <x:c r="A129" s="2" t="n">
        <x:v>96</x:v>
      </x:c>
      <x:c r="B129" s="7" t="n">
        <x:v>68</x:v>
      </x:c>
      <x:c r="C129" s="7" t="n">
        <x:v>81</x:v>
      </x:c>
      <x:c r="D129" s="11" t="n">
        <x:f>(B129+C129)/2</x:f>
        <x:v>74.5</x:v>
      </x:c>
      <x:c r="E129" s="2"/>
      <x:c r="F129" s="2"/>
      <x:c r="G129" s="2"/>
      <x:c r="H129" s="2"/>
    </x:row>
    <x:row r="130" ht="24" customHeight="1">
      <x:c r="A130" s="2" t="n">
        <x:v>97</x:v>
      </x:c>
      <x:c r="B130" s="7" t="n">
        <x:v>68</x:v>
      </x:c>
      <x:c r="C130" s="7" t="n">
        <x:v>81</x:v>
      </x:c>
      <x:c r="D130" s="11" t="n">
        <x:f>(B130+C130)/2</x:f>
        <x:v>74.5</x:v>
      </x:c>
      <x:c r="E130" s="2"/>
      <x:c r="F130" s="2"/>
      <x:c r="G130" s="2"/>
      <x:c r="H130" s="2"/>
    </x:row>
    <x:row r="131" ht="24" customHeight="1">
      <x:c r="A131" s="2" t="n">
        <x:v>98</x:v>
      </x:c>
      <x:c r="B131" s="7" t="n">
        <x:v>68</x:v>
      </x:c>
      <x:c r="C131" s="7" t="n">
        <x:v>81</x:v>
      </x:c>
      <x:c r="D131" s="11" t="n">
        <x:f>(B131+C131)/2</x:f>
        <x:v>74.5</x:v>
      </x:c>
      <x:c r="E131" s="2"/>
      <x:c r="F131" s="2"/>
      <x:c r="G131" s="2"/>
      <x:c r="H131" s="2"/>
    </x:row>
    <x:row r="132" ht="24" customHeight="1">
      <x:c r="A132" s="2" t="n">
        <x:v>99</x:v>
      </x:c>
      <x:c r="B132" s="7" t="n">
        <x:v>68</x:v>
      </x:c>
      <x:c r="C132" s="7" t="n">
        <x:v>81</x:v>
      </x:c>
      <x:c r="D132" s="11" t="n">
        <x:f>(B132+C132)/2</x:f>
        <x:v>74.5</x:v>
      </x:c>
      <x:c r="E132" s="2"/>
      <x:c r="F132" s="2"/>
      <x:c r="G132" s="2"/>
      <x:c r="H132" s="2"/>
    </x:row>
    <x:row r="133" ht="24" customHeight="1">
      <x:c r="A133" s="2" t="n">
        <x:v>100</x:v>
      </x:c>
      <x:c r="B133" s="7" t="n">
        <x:v>68</x:v>
      </x:c>
      <x:c r="C133" s="7" t="n">
        <x:v>81</x:v>
      </x:c>
      <x:c r="D133" s="11" t="n">
        <x:f>(B133+C133)/2</x:f>
        <x:v>74.5</x:v>
      </x:c>
      <x:c r="E133" s="2"/>
      <x:c r="F133" s="2"/>
      <x:c r="G133" s="2"/>
      <x:c r="H133" s="2"/>
    </x:row>
    <x:row r="134" ht="24" customHeight="1">
      <x:c r="A134" s="2" t="n">
        <x:v>101</x:v>
      </x:c>
      <x:c r="B134" s="7" t="n">
        <x:v>68</x:v>
      </x:c>
      <x:c r="C134" s="7" t="n">
        <x:v>81</x:v>
      </x:c>
      <x:c r="D134" s="11" t="n">
        <x:f>(B134+C134)/2</x:f>
        <x:v>74.5</x:v>
      </x:c>
      <x:c r="E134" s="2"/>
      <x:c r="F134" s="2"/>
      <x:c r="G134" s="2"/>
      <x:c r="H134" s="2"/>
    </x:row>
    <x:row r="135" ht="24" customHeight="1">
      <x:c r="A135" s="2" t="n">
        <x:v>102</x:v>
      </x:c>
      <x:c r="B135" s="7" t="n">
        <x:v>68</x:v>
      </x:c>
      <x:c r="C135" s="7" t="n">
        <x:v>81</x:v>
      </x:c>
      <x:c r="D135" s="11" t="n">
        <x:f>(B135+C135)/2</x:f>
        <x:v>74.5</x:v>
      </x:c>
      <x:c r="E135" s="2"/>
      <x:c r="F135" s="2"/>
      <x:c r="G135" s="2"/>
      <x:c r="H135" s="2"/>
    </x:row>
    <x:row r="136" ht="24" customHeight="1">
      <x:c r="A136" s="2" t="n">
        <x:v>103</x:v>
      </x:c>
      <x:c r="B136" s="7" t="n">
        <x:v>68</x:v>
      </x:c>
      <x:c r="C136" s="7" t="n">
        <x:v>81</x:v>
      </x:c>
      <x:c r="D136" s="11" t="n">
        <x:f>(B136+C136)/2</x:f>
        <x:v>74.5</x:v>
      </x:c>
      <x:c r="E136" s="2"/>
      <x:c r="F136" s="2"/>
      <x:c r="G136" s="2"/>
      <x:c r="H136" s="2"/>
    </x:row>
    <x:row r="137" ht="24" customHeight="1">
      <x:c r="A137" s="2" t="n">
        <x:v>104</x:v>
      </x:c>
      <x:c r="B137" s="7" t="n">
        <x:v>68</x:v>
      </x:c>
      <x:c r="C137" s="7" t="n">
        <x:v>81</x:v>
      </x:c>
      <x:c r="D137" s="11" t="n">
        <x:f>(B137+C137)/2</x:f>
        <x:v>74.5</x:v>
      </x:c>
      <x:c r="E137" s="2"/>
      <x:c r="F137" s="2"/>
      <x:c r="G137" s="2"/>
      <x:c r="H137" s="2"/>
    </x:row>
    <x:row r="138" ht="24" customHeight="1">
      <x:c r="A138" s="2" t="n">
        <x:v>105</x:v>
      </x:c>
      <x:c r="B138" s="7" t="n">
        <x:v>68</x:v>
      </x:c>
      <x:c r="C138" s="7" t="n">
        <x:v>81</x:v>
      </x:c>
      <x:c r="D138" s="11" t="n">
        <x:f>(B138+C138)/2</x:f>
        <x:v>74.5</x:v>
      </x:c>
      <x:c r="E138" s="2"/>
      <x:c r="F138" s="2"/>
      <x:c r="G138" s="2"/>
      <x:c r="H138" s="2"/>
    </x:row>
    <x:row r="139" ht="24" customHeight="1">
      <x:c r="A139" s="2" t="n">
        <x:v>106</x:v>
      </x:c>
      <x:c r="B139" s="7" t="n">
        <x:v>68</x:v>
      </x:c>
      <x:c r="C139" s="7" t="n">
        <x:v>81</x:v>
      </x:c>
      <x:c r="D139" s="11" t="n">
        <x:f>(B139+C139)/2</x:f>
        <x:v>74.5</x:v>
      </x:c>
      <x:c r="E139" s="2"/>
      <x:c r="F139" s="2"/>
      <x:c r="G139" s="2"/>
      <x:c r="H139" s="2"/>
    </x:row>
    <x:row r="140" ht="24" customHeight="1">
      <x:c r="A140" s="2" t="n">
        <x:v>107</x:v>
      </x:c>
      <x:c r="B140" s="7" t="n">
        <x:v>68</x:v>
      </x:c>
      <x:c r="C140" s="7" t="n">
        <x:v>81</x:v>
      </x:c>
      <x:c r="D140" s="11" t="n">
        <x:f>(B140+C140)/2</x:f>
        <x:v>74.5</x:v>
      </x:c>
      <x:c r="E140" s="2"/>
      <x:c r="F140" s="2"/>
      <x:c r="G140" s="2"/>
      <x:c r="H140" s="2"/>
    </x:row>
    <x:row r="141" ht="24" customHeight="1">
      <x:c r="A141" s="2" t="n">
        <x:v>108</x:v>
      </x:c>
      <x:c r="B141" s="7" t="n">
        <x:v>68</x:v>
      </x:c>
      <x:c r="C141" s="7" t="n">
        <x:v>81</x:v>
      </x:c>
      <x:c r="D141" s="11" t="n">
        <x:f>(B141+C141)/2</x:f>
        <x:v>74.5</x:v>
      </x:c>
      <x:c r="E141" s="2"/>
      <x:c r="F141" s="2"/>
      <x:c r="G141" s="2"/>
      <x:c r="H141" s="2"/>
    </x:row>
    <x:row r="142" ht="24" customHeight="1">
      <x:c r="A142" s="2" t="n">
        <x:v>109</x:v>
      </x:c>
      <x:c r="B142" s="7" t="n">
        <x:v>68</x:v>
      </x:c>
      <x:c r="C142" s="7" t="n">
        <x:v>81</x:v>
      </x:c>
      <x:c r="D142" s="11" t="n">
        <x:f>(B142+C142)/2</x:f>
        <x:v>74.5</x:v>
      </x:c>
      <x:c r="E142" s="2"/>
      <x:c r="F142" s="2"/>
      <x:c r="G142" s="2"/>
      <x:c r="H142" s="2"/>
    </x:row>
    <x:row r="143" ht="24" customHeight="1">
      <x:c r="A143" s="2" t="n">
        <x:v>110</x:v>
      </x:c>
      <x:c r="B143" s="7" t="n">
        <x:v>68</x:v>
      </x:c>
      <x:c r="C143" s="7" t="n">
        <x:v>81</x:v>
      </x:c>
      <x:c r="D143" s="11" t="n">
        <x:f>(B143+C143)/2</x:f>
        <x:v>74.5</x:v>
      </x:c>
      <x:c r="E143" s="2"/>
      <x:c r="F143" s="2"/>
      <x:c r="G143" s="2"/>
      <x:c r="H143" s="2"/>
    </x:row>
    <x:row r="144" ht="24" customHeight="1">
      <x:c r="A144" s="2" t="n">
        <x:v>111</x:v>
      </x:c>
      <x:c r="B144" s="7" t="n">
        <x:v>68</x:v>
      </x:c>
      <x:c r="C144" s="7" t="n">
        <x:v>81</x:v>
      </x:c>
      <x:c r="D144" s="11" t="n">
        <x:f>(B144+C144)/2</x:f>
        <x:v>74.5</x:v>
      </x:c>
      <x:c r="E144" s="2"/>
      <x:c r="F144" s="2"/>
      <x:c r="G144" s="2"/>
      <x:c r="H144" s="2"/>
    </x:row>
    <x:row r="145" ht="24" customHeight="1">
      <x:c r="A145" s="2" t="n">
        <x:v>112</x:v>
      </x:c>
      <x:c r="B145" s="7" t="n">
        <x:v>68</x:v>
      </x:c>
      <x:c r="C145" s="7" t="n">
        <x:v>81</x:v>
      </x:c>
      <x:c r="D145" s="11" t="n">
        <x:f>(B145+C145)/2</x:f>
        <x:v>74.5</x:v>
      </x:c>
      <x:c r="E145" s="2"/>
      <x:c r="F145" s="2"/>
      <x:c r="G145" s="2"/>
      <x:c r="H145" s="2"/>
    </x:row>
    <x:row r="146" ht="24" customHeight="1">
      <x:c r="A146" s="2" t="n">
        <x:v>113</x:v>
      </x:c>
      <x:c r="B146" s="7" t="n">
        <x:v>68</x:v>
      </x:c>
      <x:c r="C146" s="7" t="n">
        <x:v>81</x:v>
      </x:c>
      <x:c r="D146" s="11" t="n">
        <x:f>(B146+C146)/2</x:f>
        <x:v>74.5</x:v>
      </x:c>
      <x:c r="E146" s="2"/>
      <x:c r="F146" s="2"/>
      <x:c r="G146" s="2"/>
      <x:c r="H146" s="2"/>
    </x:row>
    <x:row r="147" ht="24" customHeight="1">
      <x:c r="A147" s="2" t="n">
        <x:v>114</x:v>
      </x:c>
      <x:c r="B147" s="7" t="n">
        <x:v>68</x:v>
      </x:c>
      <x:c r="C147" s="7" t="n">
        <x:v>81</x:v>
      </x:c>
      <x:c r="D147" s="11" t="n">
        <x:f>(B147+C147)/2</x:f>
        <x:v>74.5</x:v>
      </x:c>
      <x:c r="E147" s="2"/>
      <x:c r="F147" s="2"/>
      <x:c r="G147" s="2"/>
      <x:c r="H147" s="2"/>
    </x:row>
    <x:row r="148" ht="24" customHeight="1">
      <x:c r="A148" s="2" t="n">
        <x:v>115</x:v>
      </x:c>
      <x:c r="B148" s="7" t="n">
        <x:v>68</x:v>
      </x:c>
      <x:c r="C148" s="7" t="n">
        <x:v>81</x:v>
      </x:c>
      <x:c r="D148" s="11" t="n">
        <x:f>(B148+C148)/2</x:f>
        <x:v>74.5</x:v>
      </x:c>
      <x:c r="E148" s="2"/>
      <x:c r="F148" s="2"/>
      <x:c r="G148" s="2"/>
      <x:c r="H148" s="2"/>
    </x:row>
    <x:row r="149" ht="24" customHeight="1">
      <x:c r="A149" s="2" t="n">
        <x:v>116</x:v>
      </x:c>
      <x:c r="B149" s="7" t="n">
        <x:v>68</x:v>
      </x:c>
      <x:c r="C149" s="7" t="n">
        <x:v>81</x:v>
      </x:c>
      <x:c r="D149" s="11" t="n">
        <x:f>(B149+C149)/2</x:f>
        <x:v>74.5</x:v>
      </x:c>
      <x:c r="E149" s="2"/>
      <x:c r="F149" s="2"/>
      <x:c r="G149" s="2"/>
      <x:c r="H149" s="2"/>
    </x:row>
    <x:row r="150" ht="24" customHeight="1">
      <x:c r="A150" s="2" t="n">
        <x:v>117</x:v>
      </x:c>
      <x:c r="B150" s="7" t="n">
        <x:v>68</x:v>
      </x:c>
      <x:c r="C150" s="7" t="n">
        <x:v>81</x:v>
      </x:c>
      <x:c r="D150" s="11" t="n">
        <x:f>(B150+C150)/2</x:f>
        <x:v>74.5</x:v>
      </x:c>
      <x:c r="E150" s="2"/>
      <x:c r="F150" s="2"/>
      <x:c r="G150" s="2"/>
      <x:c r="H150" s="2"/>
    </x:row>
    <x:row r="151" ht="24" customHeight="1">
      <x:c r="A151" s="2" t="n">
        <x:v>118</x:v>
      </x:c>
      <x:c r="B151" s="7" t="n">
        <x:v>68</x:v>
      </x:c>
      <x:c r="C151" s="7" t="n">
        <x:v>81</x:v>
      </x:c>
      <x:c r="D151" s="11" t="n">
        <x:f>(B151+C151)/2</x:f>
        <x:v>74.5</x:v>
      </x:c>
      <x:c r="E151" s="2"/>
      <x:c r="F151" s="2"/>
      <x:c r="G151" s="2"/>
      <x:c r="H151" s="2"/>
    </x:row>
    <x:row r="152" ht="24" customHeight="1">
      <x:c r="A152" s="2" t="n">
        <x:v>119</x:v>
      </x:c>
      <x:c r="B152" s="7" t="n">
        <x:v>68</x:v>
      </x:c>
      <x:c r="C152" s="7" t="n">
        <x:v>81</x:v>
      </x:c>
      <x:c r="D152" s="11" t="n">
        <x:f>(B152+C152)/2</x:f>
        <x:v>74.5</x:v>
      </x:c>
      <x:c r="E152" s="2"/>
      <x:c r="F152" s="2"/>
      <x:c r="G152" s="2"/>
      <x:c r="H152" s="2"/>
    </x:row>
    <x:row r="153" ht="24" customHeight="1">
      <x:c r="A153" s="2" t="n">
        <x:v>120</x:v>
      </x:c>
      <x:c r="B153" s="7" t="n">
        <x:v>68</x:v>
      </x:c>
      <x:c r="C153" s="7" t="n">
        <x:v>81</x:v>
      </x:c>
      <x:c r="D153" s="11" t="n">
        <x:f>(B153+C153)/2</x:f>
        <x:v>74.5</x:v>
      </x:c>
      <x:c r="E153" s="2"/>
      <x:c r="F153" s="2"/>
      <x:c r="G153" s="2"/>
      <x:c r="H153" s="2"/>
    </x:row>
    <x:row r="154" ht="24" customHeight="1">
      <x:c r="A154" s="2" t="n">
        <x:v>121</x:v>
      </x:c>
      <x:c r="B154" s="7" t="n">
        <x:v>68</x:v>
      </x:c>
      <x:c r="C154" s="7" t="n">
        <x:v>81</x:v>
      </x:c>
      <x:c r="D154" s="11" t="n">
        <x:f>(B154+C154)/2</x:f>
        <x:v>74.5</x:v>
      </x:c>
      <x:c r="E154" s="2"/>
      <x:c r="F154" s="2"/>
      <x:c r="G154" s="2"/>
      <x:c r="H154" s="2"/>
    </x:row>
    <x:row r="155" ht="24" customHeight="1">
      <x:c r="A155" s="2" t="n">
        <x:v>122</x:v>
      </x:c>
      <x:c r="B155" s="7" t="n">
        <x:v>68</x:v>
      </x:c>
      <x:c r="C155" s="7" t="n">
        <x:v>81</x:v>
      </x:c>
      <x:c r="D155" s="11" t="n">
        <x:f>(B155+C155)/2</x:f>
        <x:v>74.5</x:v>
      </x:c>
      <x:c r="E155" s="2"/>
      <x:c r="F155" s="2"/>
      <x:c r="G155" s="2"/>
      <x:c r="H155" s="2"/>
    </x:row>
    <x:row r="156" ht="24" customHeight="1">
      <x:c r="A156" s="2" t="n">
        <x:v>123</x:v>
      </x:c>
      <x:c r="B156" s="7" t="n">
        <x:v>68</x:v>
      </x:c>
      <x:c r="C156" s="7" t="n">
        <x:v>81</x:v>
      </x:c>
      <x:c r="D156" s="11" t="n">
        <x:f>(B156+C156)/2</x:f>
        <x:v>74.5</x:v>
      </x:c>
      <x:c r="E156" s="2"/>
      <x:c r="F156" s="2"/>
      <x:c r="G156" s="2"/>
      <x:c r="H156" s="2"/>
    </x:row>
    <x:row r="157" ht="24" customHeight="1">
      <x:c r="A157" s="2" t="n">
        <x:v>124</x:v>
      </x:c>
      <x:c r="B157" s="7" t="n">
        <x:v>68</x:v>
      </x:c>
      <x:c r="C157" s="7" t="n">
        <x:v>81</x:v>
      </x:c>
      <x:c r="D157" s="11" t="n">
        <x:f>(B157+C157)/2</x:f>
        <x:v>74.5</x:v>
      </x:c>
      <x:c r="E157" s="2"/>
      <x:c r="F157" s="2"/>
      <x:c r="G157" s="2"/>
      <x:c r="H157" s="2"/>
    </x:row>
    <x:row r="158" ht="24" customHeight="1">
      <x:c r="A158" s="2" t="n">
        <x:v>125</x:v>
      </x:c>
      <x:c r="B158" s="7" t="n">
        <x:v>68</x:v>
      </x:c>
      <x:c r="C158" s="7" t="n">
        <x:v>81</x:v>
      </x:c>
      <x:c r="D158" s="11" t="n">
        <x:f>(B158+C158)/2</x:f>
        <x:v>74.5</x:v>
      </x:c>
      <x:c r="E158" s="2"/>
      <x:c r="F158" s="2"/>
      <x:c r="G158" s="2"/>
      <x:c r="H158" s="2"/>
    </x:row>
    <x:row r="159" ht="24" customHeight="1">
      <x:c r="A159" s="2" t="n">
        <x:v>126</x:v>
      </x:c>
      <x:c r="B159" s="7" t="n">
        <x:v>68</x:v>
      </x:c>
      <x:c r="C159" s="7" t="n">
        <x:v>81</x:v>
      </x:c>
      <x:c r="D159" s="11" t="n">
        <x:f>(B159+C159)/2</x:f>
        <x:v>74.5</x:v>
      </x:c>
      <x:c r="E159" s="2"/>
      <x:c r="F159" s="2"/>
      <x:c r="G159" s="2"/>
      <x:c r="H159" s="2"/>
    </x:row>
    <x:row r="160" ht="24" customHeight="1">
      <x:c r="A160" s="2" t="n">
        <x:v>127</x:v>
      </x:c>
      <x:c r="B160" s="7" t="n">
        <x:v>68</x:v>
      </x:c>
      <x:c r="C160" s="7" t="n">
        <x:v>81</x:v>
      </x:c>
      <x:c r="D160" s="11" t="n">
        <x:f>(B160+C160)/2</x:f>
        <x:v>74.5</x:v>
      </x:c>
      <x:c r="E160" s="2"/>
      <x:c r="F160" s="2"/>
      <x:c r="G160" s="2"/>
      <x:c r="H160" s="2"/>
    </x:row>
    <x:row r="161" ht="24" customHeight="1">
      <x:c r="A161" s="2" t="n">
        <x:v>128</x:v>
      </x:c>
      <x:c r="B161" s="7" t="n">
        <x:v>68</x:v>
      </x:c>
      <x:c r="C161" s="7" t="n">
        <x:v>81</x:v>
      </x:c>
      <x:c r="D161" s="11" t="n">
        <x:f>(B161+C161)/2</x:f>
        <x:v>74.5</x:v>
      </x:c>
      <x:c r="E161" s="2"/>
      <x:c r="F161" s="2"/>
      <x:c r="G161" s="2"/>
      <x:c r="H161" s="2"/>
    </x:row>
    <x:row r="162" ht="24" customHeight="1">
      <x:c r="A162" s="2" t="n">
        <x:v>129</x:v>
      </x:c>
      <x:c r="B162" s="7" t="n">
        <x:v>68</x:v>
      </x:c>
      <x:c r="C162" s="7" t="n">
        <x:v>81</x:v>
      </x:c>
      <x:c r="D162" s="11" t="n">
        <x:f>(B162+C162)/2</x:f>
        <x:v>74.5</x:v>
      </x:c>
      <x:c r="E162" s="2"/>
      <x:c r="F162" s="2"/>
      <x:c r="G162" s="2"/>
      <x:c r="H162" s="2"/>
    </x:row>
    <x:row r="163" ht="24" customHeight="1">
      <x:c r="A163" s="2" t="n">
        <x:v>130</x:v>
      </x:c>
      <x:c r="B163" s="7" t="n">
        <x:v>68</x:v>
      </x:c>
      <x:c r="C163" s="7" t="n">
        <x:v>81</x:v>
      </x:c>
      <x:c r="D163" s="11" t="n">
        <x:f>(B163+C163)/2</x:f>
        <x:v>74.5</x:v>
      </x:c>
      <x:c r="E163" s="2"/>
      <x:c r="F163" s="2"/>
      <x:c r="G163" s="2"/>
      <x:c r="H163" s="2"/>
    </x:row>
    <x:row r="164" ht="24" customHeight="1">
      <x:c r="A164" s="2" t="n">
        <x:v>131</x:v>
      </x:c>
      <x:c r="B164" s="7" t="n">
        <x:v>68</x:v>
      </x:c>
      <x:c r="C164" s="7" t="n">
        <x:v>81</x:v>
      </x:c>
      <x:c r="D164" s="11" t="n">
        <x:f>(B164+C164)/2</x:f>
        <x:v>74.5</x:v>
      </x:c>
      <x:c r="E164" s="2"/>
      <x:c r="F164" s="2"/>
      <x:c r="G164" s="2"/>
      <x:c r="H164" s="2"/>
    </x:row>
    <x:row r="165" ht="24" customHeight="1">
      <x:c r="A165" s="2" t="n">
        <x:v>132</x:v>
      </x:c>
      <x:c r="B165" s="7" t="n">
        <x:v>68</x:v>
      </x:c>
      <x:c r="C165" s="7" t="n">
        <x:v>81</x:v>
      </x:c>
      <x:c r="D165" s="11" t="n">
        <x:f>(B165+C165)/2</x:f>
        <x:v>74.5</x:v>
      </x:c>
      <x:c r="E165" s="2"/>
      <x:c r="F165" s="2"/>
      <x:c r="G165" s="2"/>
      <x:c r="H165" s="2"/>
    </x:row>
    <x:row r="166" ht="24" customHeight="1">
      <x:c r="A166" s="2" t="n">
        <x:v>133</x:v>
      </x:c>
      <x:c r="B166" s="7" t="n">
        <x:v>68</x:v>
      </x:c>
      <x:c r="C166" s="7" t="n">
        <x:v>81</x:v>
      </x:c>
      <x:c r="D166" s="11" t="n">
        <x:f>(B166+C166)/2</x:f>
        <x:v>74.5</x:v>
      </x:c>
      <x:c r="E166" s="2"/>
      <x:c r="F166" s="2"/>
      <x:c r="G166" s="2"/>
      <x:c r="H166" s="2"/>
    </x:row>
    <x:row r="167" ht="24" customHeight="1">
      <x:c r="A167" s="2" t="n">
        <x:v>134</x:v>
      </x:c>
      <x:c r="B167" s="7" t="n">
        <x:v>68</x:v>
      </x:c>
      <x:c r="C167" s="7" t="n">
        <x:v>81</x:v>
      </x:c>
      <x:c r="D167" s="11" t="n">
        <x:f>(B167+C167)/2</x:f>
        <x:v>74.5</x:v>
      </x:c>
      <x:c r="E167" s="2"/>
      <x:c r="F167" s="2"/>
      <x:c r="G167" s="2"/>
      <x:c r="H167" s="2"/>
    </x:row>
    <x:row r="168" ht="24" customHeight="1">
      <x:c r="A168" s="2" t="n">
        <x:v>135</x:v>
      </x:c>
      <x:c r="B168" s="7" t="n">
        <x:v>68</x:v>
      </x:c>
      <x:c r="C168" s="7" t="n">
        <x:v>81</x:v>
      </x:c>
      <x:c r="D168" s="11" t="n">
        <x:f>(B168+C168)/2</x:f>
        <x:v>74.5</x:v>
      </x:c>
      <x:c r="E168" s="2"/>
      <x:c r="F168" s="2"/>
      <x:c r="G168" s="2"/>
      <x:c r="H168" s="2"/>
    </x:row>
    <x:row r="169" ht="24" customHeight="1">
      <x:c r="A169" s="2" t="n">
        <x:v>136</x:v>
      </x:c>
      <x:c r="B169" s="7" t="n">
        <x:v>68</x:v>
      </x:c>
      <x:c r="C169" s="7" t="n">
        <x:v>81</x:v>
      </x:c>
      <x:c r="D169" s="11" t="n">
        <x:f>(B169+C169)/2</x:f>
        <x:v>74.5</x:v>
      </x:c>
      <x:c r="E169" s="2"/>
      <x:c r="F169" s="2"/>
      <x:c r="G169" s="2"/>
      <x:c r="H169" s="2"/>
    </x:row>
    <x:row r="170" ht="24" customHeight="1">
      <x:c r="A170" s="2" t="n">
        <x:v>137</x:v>
      </x:c>
      <x:c r="B170" s="7" t="n">
        <x:v>68</x:v>
      </x:c>
      <x:c r="C170" s="7" t="n">
        <x:v>81</x:v>
      </x:c>
      <x:c r="D170" s="11" t="n">
        <x:f>(B170+C170)/2</x:f>
        <x:v>74.5</x:v>
      </x:c>
      <x:c r="E170" s="2"/>
      <x:c r="F170" s="2"/>
      <x:c r="G170" s="2"/>
      <x:c r="H170" s="2"/>
    </x:row>
    <x:row r="171" ht="24" customHeight="1">
      <x:c r="A171" s="2" t="n">
        <x:v>138</x:v>
      </x:c>
      <x:c r="B171" s="7" t="n">
        <x:v>68</x:v>
      </x:c>
      <x:c r="C171" s="7" t="n">
        <x:v>81</x:v>
      </x:c>
      <x:c r="D171" s="11" t="n">
        <x:f>(B171+C171)/2</x:f>
        <x:v>74.5</x:v>
      </x:c>
      <x:c r="E171" s="2"/>
      <x:c r="F171" s="2"/>
      <x:c r="G171" s="2"/>
      <x:c r="H171" s="2"/>
    </x:row>
    <x:row r="172" ht="24" customHeight="1">
      <x:c r="A172" s="2" t="n">
        <x:v>139</x:v>
      </x:c>
      <x:c r="B172" s="7" t="n">
        <x:v>68</x:v>
      </x:c>
      <x:c r="C172" s="7" t="n">
        <x:v>81</x:v>
      </x:c>
      <x:c r="D172" s="11" t="n">
        <x:f>(B172+C172)/2</x:f>
        <x:v>74.5</x:v>
      </x:c>
      <x:c r="E172" s="2"/>
      <x:c r="F172" s="2"/>
      <x:c r="G172" s="2"/>
      <x:c r="H172" s="2"/>
    </x:row>
    <x:row r="173" ht="24" customHeight="1">
      <x:c r="A173" s="2" t="n">
        <x:v>140</x:v>
      </x:c>
      <x:c r="B173" s="7" t="n">
        <x:v>68</x:v>
      </x:c>
      <x:c r="C173" s="7" t="n">
        <x:v>81</x:v>
      </x:c>
      <x:c r="D173" s="11" t="n">
        <x:f>(B173+C173)/2</x:f>
        <x:v>74.5</x:v>
      </x:c>
      <x:c r="E173" s="2"/>
      <x:c r="F173" s="2"/>
      <x:c r="G173" s="2"/>
      <x:c r="H173" s="2"/>
    </x:row>
    <x:row r="174" ht="24" customHeight="1">
      <x:c r="A174" s="2" t="n">
        <x:v>141</x:v>
      </x:c>
      <x:c r="B174" s="7" t="n">
        <x:v>68</x:v>
      </x:c>
      <x:c r="C174" s="7" t="n">
        <x:v>81</x:v>
      </x:c>
      <x:c r="D174" s="11" t="n">
        <x:f>(B174+C174)/2</x:f>
        <x:v>74.5</x:v>
      </x:c>
      <x:c r="E174" s="2"/>
      <x:c r="F174" s="2"/>
      <x:c r="G174" s="2"/>
      <x:c r="H174" s="2"/>
    </x:row>
    <x:row r="175" ht="24" customHeight="1">
      <x:c r="A175" s="2" t="n">
        <x:v>142</x:v>
      </x:c>
      <x:c r="B175" s="7" t="n">
        <x:v>68</x:v>
      </x:c>
      <x:c r="C175" s="7" t="n">
        <x:v>81</x:v>
      </x:c>
      <x:c r="D175" s="11" t="n">
        <x:f>(B175+C175)/2</x:f>
        <x:v>74.5</x:v>
      </x:c>
      <x:c r="E175" s="2"/>
      <x:c r="F175" s="2"/>
      <x:c r="G175" s="2"/>
      <x:c r="H175" s="2"/>
    </x:row>
    <x:row r="176" ht="24" customHeight="1">
      <x:c r="A176" s="2" t="n">
        <x:v>143</x:v>
      </x:c>
      <x:c r="B176" s="7" t="n">
        <x:v>68</x:v>
      </x:c>
      <x:c r="C176" s="7" t="n">
        <x:v>81</x:v>
      </x:c>
      <x:c r="D176" s="11" t="n">
        <x:f>(B176+C176)/2</x:f>
        <x:v>74.5</x:v>
      </x:c>
      <x:c r="E176" s="2"/>
      <x:c r="F176" s="2"/>
      <x:c r="G176" s="2"/>
      <x:c r="H176" s="2"/>
    </x:row>
    <x:row r="177" ht="24" customHeight="1">
      <x:c r="A177" s="2" t="n">
        <x:v>144</x:v>
      </x:c>
      <x:c r="B177" s="7" t="n">
        <x:v>68</x:v>
      </x:c>
      <x:c r="C177" s="7" t="n">
        <x:v>81</x:v>
      </x:c>
      <x:c r="D177" s="11" t="n">
        <x:f>(B177+C177)/2</x:f>
        <x:v>74.5</x:v>
      </x:c>
      <x:c r="E177" s="2"/>
      <x:c r="F177" s="2"/>
      <x:c r="G177" s="2"/>
      <x:c r="H177" s="2"/>
    </x:row>
    <x:row r="178" ht="24" customHeight="1">
      <x:c r="A178" s="2" t="n">
        <x:v>145</x:v>
      </x:c>
      <x:c r="B178" s="7" t="n">
        <x:v>68</x:v>
      </x:c>
      <x:c r="C178" s="7" t="n">
        <x:v>81</x:v>
      </x:c>
      <x:c r="D178" s="11" t="n">
        <x:f>(B178+C178)/2</x:f>
        <x:v>74.5</x:v>
      </x:c>
      <x:c r="E178" s="2"/>
      <x:c r="F178" s="2"/>
      <x:c r="G178" s="2"/>
      <x:c r="H178" s="2"/>
    </x:row>
    <x:row r="179" ht="24" customHeight="1">
      <x:c r="A179" s="2" t="n">
        <x:v>146</x:v>
      </x:c>
      <x:c r="B179" s="7" t="n">
        <x:v>68</x:v>
      </x:c>
      <x:c r="C179" s="7" t="n">
        <x:v>81</x:v>
      </x:c>
      <x:c r="D179" s="11" t="n">
        <x:f>(B179+C179)/2</x:f>
        <x:v>74.5</x:v>
      </x:c>
      <x:c r="E179" s="2"/>
      <x:c r="F179" s="2"/>
      <x:c r="G179" s="2"/>
      <x:c r="H179" s="2"/>
    </x:row>
    <x:row r="180" ht="24" customHeight="1">
      <x:c r="A180" s="2" t="n">
        <x:v>147</x:v>
      </x:c>
      <x:c r="B180" s="7" t="n">
        <x:v>68</x:v>
      </x:c>
      <x:c r="C180" s="7" t="n">
        <x:v>81</x:v>
      </x:c>
      <x:c r="D180" s="11" t="n">
        <x:f>(B180+C180)/2</x:f>
        <x:v>74.5</x:v>
      </x:c>
      <x:c r="E180" s="2"/>
      <x:c r="F180" s="2"/>
      <x:c r="G180" s="2"/>
      <x:c r="H180" s="2"/>
    </x:row>
    <x:row r="181" ht="24" customHeight="1">
      <x:c r="A181" s="2" t="n">
        <x:v>148</x:v>
      </x:c>
      <x:c r="B181" s="7" t="n">
        <x:v>68</x:v>
      </x:c>
      <x:c r="C181" s="7" t="n">
        <x:v>81</x:v>
      </x:c>
      <x:c r="D181" s="11" t="n">
        <x:f>(B181+C181)/2</x:f>
        <x:v>74.5</x:v>
      </x:c>
      <x:c r="E181" s="2"/>
      <x:c r="F181" s="2"/>
      <x:c r="G181" s="2"/>
      <x:c r="H181" s="2"/>
    </x:row>
    <x:row r="182" ht="24" customHeight="1">
      <x:c r="A182" s="2" t="n">
        <x:v>149</x:v>
      </x:c>
      <x:c r="B182" s="7" t="n">
        <x:v>68</x:v>
      </x:c>
      <x:c r="C182" s="7" t="n">
        <x:v>81</x:v>
      </x:c>
      <x:c r="D182" s="11" t="n">
        <x:f>(B182+C182)/2</x:f>
        <x:v>74.5</x:v>
      </x:c>
      <x:c r="E182" s="2"/>
      <x:c r="F182" s="2"/>
      <x:c r="G182" s="2"/>
      <x:c r="H182" s="2"/>
    </x:row>
    <x:row r="183" ht="24" customHeight="1">
      <x:c r="A183" s="2" t="n">
        <x:v>150</x:v>
      </x:c>
      <x:c r="B183" s="7" t="n">
        <x:v>68</x:v>
      </x:c>
      <x:c r="C183" s="7" t="n">
        <x:v>81</x:v>
      </x:c>
      <x:c r="D183" s="11" t="n">
        <x:f>(B183+C183)/2</x:f>
        <x:v>74.5</x:v>
      </x:c>
      <x:c r="E183" s="2"/>
      <x:c r="F183" s="2"/>
      <x:c r="G183" s="2"/>
      <x:c r="H183" s="2"/>
    </x:row>
    <x:row r="184" ht="24" customHeight="1">
      <x:c r="A184" s="2" t="n">
        <x:v>151</x:v>
      </x:c>
      <x:c r="B184" s="7" t="n">
        <x:v>68</x:v>
      </x:c>
      <x:c r="C184" s="7" t="n">
        <x:v>81</x:v>
      </x:c>
      <x:c r="D184" s="11" t="n">
        <x:f>(B184+C184)/2</x:f>
        <x:v>74.5</x:v>
      </x:c>
      <x:c r="E184" s="2"/>
      <x:c r="F184" s="2"/>
      <x:c r="G184" s="2"/>
      <x:c r="H184" s="2"/>
    </x:row>
    <x:row r="185" ht="24" customHeight="1">
      <x:c r="A185" s="2" t="n">
        <x:v>152</x:v>
      </x:c>
      <x:c r="B185" s="7" t="n">
        <x:v>68</x:v>
      </x:c>
      <x:c r="C185" s="7" t="n">
        <x:v>81</x:v>
      </x:c>
      <x:c r="D185" s="11" t="n">
        <x:f>(B185+C185)/2</x:f>
        <x:v>74.5</x:v>
      </x:c>
      <x:c r="E185" s="2"/>
      <x:c r="F185" s="2"/>
      <x:c r="G185" s="2"/>
      <x:c r="H185" s="2"/>
    </x:row>
    <x:row r="186" ht="24" customHeight="1">
      <x:c r="A186" s="2" t="n">
        <x:v>153</x:v>
      </x:c>
      <x:c r="B186" s="7" t="n">
        <x:v>68</x:v>
      </x:c>
      <x:c r="C186" s="7" t="n">
        <x:v>81</x:v>
      </x:c>
      <x:c r="D186" s="11" t="n">
        <x:f>(B186+C186)/2</x:f>
        <x:v>74.5</x:v>
      </x:c>
      <x:c r="E186" s="2"/>
      <x:c r="F186" s="2"/>
      <x:c r="G186" s="2"/>
      <x:c r="H186" s="2"/>
    </x:row>
    <x:row r="187" ht="24" customHeight="1">
      <x:c r="A187" s="2" t="n">
        <x:v>154</x:v>
      </x:c>
      <x:c r="B187" s="7" t="n">
        <x:v>68</x:v>
      </x:c>
      <x:c r="C187" s="7" t="n">
        <x:v>81</x:v>
      </x:c>
      <x:c r="D187" s="11" t="n">
        <x:f>(B187+C187)/2</x:f>
        <x:v>74.5</x:v>
      </x:c>
      <x:c r="E187" s="2"/>
      <x:c r="F187" s="2"/>
      <x:c r="G187" s="2"/>
      <x:c r="H187" s="2"/>
    </x:row>
    <x:row r="188" ht="24" customHeight="1">
      <x:c r="A188" s="2" t="n">
        <x:v>155</x:v>
      </x:c>
      <x:c r="B188" s="7" t="n">
        <x:v>68</x:v>
      </x:c>
      <x:c r="C188" s="7" t="n">
        <x:v>81</x:v>
      </x:c>
      <x:c r="D188" s="11" t="n">
        <x:f>(B188+C188)/2</x:f>
        <x:v>74.5</x:v>
      </x:c>
      <x:c r="E188" s="2"/>
      <x:c r="F188" s="2"/>
      <x:c r="G188" s="2"/>
      <x:c r="H188" s="2"/>
    </x:row>
    <x:row r="189" ht="24" customHeight="1">
      <x:c r="A189" s="2" t="n">
        <x:v>156</x:v>
      </x:c>
      <x:c r="B189" s="7" t="n">
        <x:v>68</x:v>
      </x:c>
      <x:c r="C189" s="7" t="n">
        <x:v>81</x:v>
      </x:c>
      <x:c r="D189" s="11" t="n">
        <x:f>(B189+C189)/2</x:f>
        <x:v>74.5</x:v>
      </x:c>
      <x:c r="E189" s="2"/>
      <x:c r="F189" s="2"/>
      <x:c r="G189" s="2"/>
      <x:c r="H189" s="2"/>
    </x:row>
    <x:row r="190" ht="24" customHeight="1">
      <x:c r="A190" s="2" t="n">
        <x:v>157</x:v>
      </x:c>
      <x:c r="B190" s="7" t="n">
        <x:v>68</x:v>
      </x:c>
      <x:c r="C190" s="7" t="n">
        <x:v>81</x:v>
      </x:c>
      <x:c r="D190" s="11" t="n">
        <x:f>(B190+C190)/2</x:f>
        <x:v>74.5</x:v>
      </x:c>
      <x:c r="E190" s="2"/>
      <x:c r="F190" s="2"/>
      <x:c r="G190" s="2"/>
      <x:c r="H190" s="2"/>
    </x:row>
    <x:row r="191" ht="24" customHeight="1">
      <x:c r="A191" s="2" t="n">
        <x:v>158</x:v>
      </x:c>
      <x:c r="B191" s="7" t="n">
        <x:v>68</x:v>
      </x:c>
      <x:c r="C191" s="7" t="n">
        <x:v>81</x:v>
      </x:c>
      <x:c r="D191" s="11" t="n">
        <x:f>(B191+C191)/2</x:f>
        <x:v>74.5</x:v>
      </x:c>
      <x:c r="E191" s="2"/>
      <x:c r="F191" s="2"/>
      <x:c r="G191" s="2"/>
      <x:c r="H191" s="2"/>
    </x:row>
    <x:row r="192" ht="24" customHeight="1">
      <x:c r="A192" s="2" t="n">
        <x:v>159</x:v>
      </x:c>
      <x:c r="B192" s="7" t="n">
        <x:v>68</x:v>
      </x:c>
      <x:c r="C192" s="7" t="n">
        <x:v>81</x:v>
      </x:c>
      <x:c r="D192" s="11" t="n">
        <x:f>(B192+C192)/2</x:f>
        <x:v>74.5</x:v>
      </x:c>
      <x:c r="E192" s="2"/>
      <x:c r="F192" s="2"/>
      <x:c r="G192" s="2"/>
      <x:c r="H192" s="2"/>
    </x:row>
    <x:row r="193" ht="24" customHeight="1">
      <x:c r="A193" s="2" t="n">
        <x:v>160</x:v>
      </x:c>
      <x:c r="B193" s="7" t="n">
        <x:v>68</x:v>
      </x:c>
      <x:c r="C193" s="7" t="n">
        <x:v>81</x:v>
      </x:c>
      <x:c r="D193" s="11" t="n">
        <x:f>(B193+C193)/2</x:f>
        <x:v>74.5</x:v>
      </x:c>
      <x:c r="E193" s="2"/>
      <x:c r="F193" s="2"/>
      <x:c r="G193" s="2"/>
      <x:c r="H193" s="2"/>
    </x:row>
    <x:row r="194" ht="24" customHeight="1">
      <x:c r="A194" s="2" t="n">
        <x:v>161</x:v>
      </x:c>
      <x:c r="B194" s="7" t="n">
        <x:v>68</x:v>
      </x:c>
      <x:c r="C194" s="7" t="n">
        <x:v>81</x:v>
      </x:c>
      <x:c r="D194" s="11" t="n">
        <x:f>(B194+C194)/2</x:f>
        <x:v>74.5</x:v>
      </x:c>
      <x:c r="E194" s="2"/>
      <x:c r="F194" s="2"/>
      <x:c r="G194" s="2"/>
      <x:c r="H194" s="2"/>
    </x:row>
    <x:row r="195" ht="24" customHeight="1">
      <x:c r="A195" s="2" t="n">
        <x:v>162</x:v>
      </x:c>
      <x:c r="B195" s="7" t="n">
        <x:v>68</x:v>
      </x:c>
      <x:c r="C195" s="7" t="n">
        <x:v>81</x:v>
      </x:c>
      <x:c r="D195" s="11" t="n">
        <x:f>(B195+C195)/2</x:f>
        <x:v>74.5</x:v>
      </x:c>
      <x:c r="E195" s="2"/>
      <x:c r="F195" s="2"/>
      <x:c r="G195" s="2"/>
      <x:c r="H195" s="2"/>
    </x:row>
    <x:row r="196" ht="24" customHeight="1">
      <x:c r="A196" s="2" t="n">
        <x:v>163</x:v>
      </x:c>
      <x:c r="B196" s="7" t="n">
        <x:v>68</x:v>
      </x:c>
      <x:c r="C196" s="7" t="n">
        <x:v>81</x:v>
      </x:c>
      <x:c r="D196" s="11" t="n">
        <x:f>(B196+C196)/2</x:f>
        <x:v>74.5</x:v>
      </x:c>
      <x:c r="E196" s="2"/>
      <x:c r="F196" s="2"/>
      <x:c r="G196" s="2"/>
      <x:c r="H196" s="2"/>
    </x:row>
    <x:row r="197" ht="24" customHeight="1">
      <x:c r="A197" s="2" t="n">
        <x:v>164</x:v>
      </x:c>
      <x:c r="B197" s="7" t="n">
        <x:v>68</x:v>
      </x:c>
      <x:c r="C197" s="7" t="n">
        <x:v>81</x:v>
      </x:c>
      <x:c r="D197" s="11" t="n">
        <x:f>(B197+C197)/2</x:f>
        <x:v>74.5</x:v>
      </x:c>
      <x:c r="E197" s="2"/>
      <x:c r="F197" s="2"/>
      <x:c r="G197" s="2"/>
      <x:c r="H197" s="2"/>
    </x:row>
    <x:row r="198" ht="24" customHeight="1">
      <x:c r="A198" s="2" t="n">
        <x:v>165</x:v>
      </x:c>
      <x:c r="B198" s="7" t="n">
        <x:v>68</x:v>
      </x:c>
      <x:c r="C198" s="7" t="n">
        <x:v>81</x:v>
      </x:c>
      <x:c r="D198" s="11" t="n">
        <x:f>(B198+C198)/2</x:f>
        <x:v>74.5</x:v>
      </x:c>
      <x:c r="E198" s="2"/>
      <x:c r="F198" s="2"/>
      <x:c r="G198" s="2"/>
      <x:c r="H198" s="2"/>
    </x:row>
    <x:row r="199" ht="24" customHeight="1">
      <x:c r="A199" s="2" t="n">
        <x:v>166</x:v>
      </x:c>
      <x:c r="B199" s="7" t="n">
        <x:v>68</x:v>
      </x:c>
      <x:c r="C199" s="7" t="n">
        <x:v>81</x:v>
      </x:c>
      <x:c r="D199" s="11" t="n">
        <x:f>(B199+C199)/2</x:f>
        <x:v>74.5</x:v>
      </x:c>
      <x:c r="E199" s="2"/>
      <x:c r="F199" s="2"/>
      <x:c r="G199" s="2"/>
      <x:c r="H199" s="2"/>
    </x:row>
    <x:row r="200" ht="24" customHeight="1">
      <x:c r="A200" s="2" t="n">
        <x:v>167</x:v>
      </x:c>
      <x:c r="B200" s="7" t="n">
        <x:v>68</x:v>
      </x:c>
      <x:c r="C200" s="7" t="n">
        <x:v>81</x:v>
      </x:c>
      <x:c r="D200" s="11" t="n">
        <x:f>(B200+C200)/2</x:f>
        <x:v>74.5</x:v>
      </x:c>
      <x:c r="E200" s="2"/>
      <x:c r="F200" s="2"/>
      <x:c r="G200" s="2"/>
      <x:c r="H200" s="2"/>
    </x:row>
    <x:row r="201" ht="24" customHeight="1">
      <x:c r="A201" s="2" t="n">
        <x:v>168</x:v>
      </x:c>
      <x:c r="B201" s="7" t="n">
        <x:v>68</x:v>
      </x:c>
      <x:c r="C201" s="7" t="n">
        <x:v>81</x:v>
      </x:c>
      <x:c r="D201" s="11" t="n">
        <x:f>(B201+C201)/2</x:f>
        <x:v>74.5</x:v>
      </x:c>
      <x:c r="E201" s="2"/>
      <x:c r="F201" s="2"/>
      <x:c r="G201" s="2"/>
      <x:c r="H201" s="2"/>
    </x:row>
    <x:row r="202" ht="24" customHeight="1">
      <x:c r="A202" s="2" t="n">
        <x:v>207</x:v>
      </x:c>
      <x:c r="B202" s="7" t="n">
        <x:v>68</x:v>
      </x:c>
      <x:c r="C202" s="7" t="n">
        <x:v>81</x:v>
      </x:c>
      <x:c r="D202" s="11" t="n">
        <x:f>(B202+C202)/2</x:f>
        <x:v>74.5</x:v>
      </x:c>
      <x:c r="E202" s="2"/>
      <x:c r="F202" s="2"/>
      <x:c r="G202" s="2"/>
      <x:c r="H202" s="2"/>
    </x:row>
    <x:row r="203" ht="24" customHeight="1">
      <x:c r="A203" s="2" t="n">
        <x:v>208</x:v>
      </x:c>
      <x:c r="B203" s="7" t="n">
        <x:v>68</x:v>
      </x:c>
      <x:c r="C203" s="7" t="n">
        <x:v>81</x:v>
      </x:c>
      <x:c r="D203" s="11" t="n">
        <x:f>(B203+C203)/2</x:f>
        <x:v>74.5</x:v>
      </x:c>
      <x:c r="E203" s="2"/>
      <x:c r="F203" s="2"/>
      <x:c r="G203" s="2"/>
      <x:c r="H203" s="2"/>
    </x:row>
    <x:row r="204" ht="24" customHeight="1">
      <x:c r="A204" s="2" t="n">
        <x:v>209</x:v>
      </x:c>
      <x:c r="B204" s="7" t="n">
        <x:v>68</x:v>
      </x:c>
      <x:c r="C204" s="7" t="n">
        <x:v>81</x:v>
      </x:c>
      <x:c r="D204" s="11" t="n">
        <x:f>(B204+C204)/2</x:f>
        <x:v>74.5</x:v>
      </x:c>
      <x:c r="E204" s="2"/>
      <x:c r="F204" s="2"/>
      <x:c r="G204" s="2"/>
      <x:c r="H204" s="2"/>
    </x:row>
    <x:row r="205" ht="24" customHeight="1">
      <x:c r="A205" s="2" t="n">
        <x:v>210</x:v>
      </x:c>
      <x:c r="B205" s="7" t="n">
        <x:v>68</x:v>
      </x:c>
      <x:c r="C205" s="7" t="n">
        <x:v>81</x:v>
      </x:c>
      <x:c r="D205" s="11" t="n">
        <x:f>(B205+C205)/2</x:f>
        <x:v>74.5</x:v>
      </x:c>
      <x:c r="E205" s="2"/>
      <x:c r="F205" s="2"/>
      <x:c r="G205" s="2"/>
      <x:c r="H205" s="2"/>
    </x:row>
    <x:row r="206" ht="24" customHeight="1">
      <x:c r="A206" s="2" t="n">
        <x:v>211</x:v>
      </x:c>
      <x:c r="B206" s="7" t="n">
        <x:v>68</x:v>
      </x:c>
      <x:c r="C206" s="7" t="n">
        <x:v>81</x:v>
      </x:c>
      <x:c r="D206" s="11" t="n">
        <x:f>(B206+C206)/2</x:f>
        <x:v>74.5</x:v>
      </x:c>
      <x:c r="E206" s="2"/>
      <x:c r="F206" s="2"/>
      <x:c r="G206" s="2"/>
      <x:c r="H206" s="2"/>
    </x:row>
    <x:row r="207" ht="24" customHeight="1">
      <x:c r="A207" s="2" t="n">
        <x:v>212</x:v>
      </x:c>
      <x:c r="B207" s="7" t="n">
        <x:v>68</x:v>
      </x:c>
      <x:c r="C207" s="7" t="n">
        <x:v>81</x:v>
      </x:c>
      <x:c r="D207" s="11" t="n">
        <x:f>(B207+C207)/2</x:f>
        <x:v>74.5</x:v>
      </x:c>
      <x:c r="E207" s="2"/>
      <x:c r="F207" s="2"/>
      <x:c r="G207" s="2"/>
      <x:c r="H207" s="2"/>
    </x:row>
    <x:row r="208" ht="24" customHeight="1">
      <x:c r="A208" s="2" t="n">
        <x:v>213</x:v>
      </x:c>
      <x:c r="B208" s="7" t="n">
        <x:v>68</x:v>
      </x:c>
      <x:c r="C208" s="7" t="n">
        <x:v>81</x:v>
      </x:c>
      <x:c r="D208" s="11" t="n">
        <x:f>(B208+C208)/2</x:f>
        <x:v>74.5</x:v>
      </x:c>
      <x:c r="E208" s="2"/>
      <x:c r="F208" s="2"/>
      <x:c r="G208" s="2"/>
      <x:c r="H208" s="2"/>
    </x:row>
    <x:row r="209" ht="24" customHeight="1">
      <x:c r="A209" s="2" t="n">
        <x:v>214</x:v>
      </x:c>
      <x:c r="B209" s="7" t="n">
        <x:v>68</x:v>
      </x:c>
      <x:c r="C209" s="7" t="n">
        <x:v>81</x:v>
      </x:c>
      <x:c r="D209" s="11" t="n">
        <x:f>(B209+C209)/2</x:f>
        <x:v>74.5</x:v>
      </x:c>
      <x:c r="E209" s="2"/>
      <x:c r="F209" s="2"/>
      <x:c r="G209" s="2"/>
      <x:c r="H209" s="2"/>
    </x:row>
    <x:row r="210" ht="24" customHeight="1">
      <x:c r="A210" s="2" t="n">
        <x:v>215</x:v>
      </x:c>
      <x:c r="B210" s="7" t="n">
        <x:v>68</x:v>
      </x:c>
      <x:c r="C210" s="7" t="n">
        <x:v>81</x:v>
      </x:c>
      <x:c r="D210" s="11" t="n">
        <x:f>(B210+C210)/2</x:f>
        <x:v>74.5</x:v>
      </x:c>
      <x:c r="E210" s="2"/>
      <x:c r="F210" s="2"/>
      <x:c r="G210" s="2"/>
      <x:c r="H210" s="2"/>
    </x:row>
    <x:row r="211" ht="24" customHeight="1">
      <x:c r="A211" s="2" t="n">
        <x:v>216</x:v>
      </x:c>
      <x:c r="B211" s="7" t="n">
        <x:v>68</x:v>
      </x:c>
      <x:c r="C211" s="7" t="n">
        <x:v>81</x:v>
      </x:c>
      <x:c r="D211" s="11" t="n">
        <x:f>(B211+C211)/2</x:f>
        <x:v>74.5</x:v>
      </x:c>
      <x:c r="E211" s="2"/>
      <x:c r="F211" s="2"/>
      <x:c r="G211" s="2"/>
      <x:c r="H211" s="2"/>
    </x:row>
    <x:row r="212" ht="24" customHeight="1">
      <x:c r="A212" s="2" t="n">
        <x:v>217</x:v>
      </x:c>
      <x:c r="B212" s="7" t="n">
        <x:v>68</x:v>
      </x:c>
      <x:c r="C212" s="7" t="n">
        <x:v>81</x:v>
      </x:c>
      <x:c r="D212" s="11" t="n">
        <x:f>(B212+C212)/2</x:f>
        <x:v>74.5</x:v>
      </x:c>
      <x:c r="E212" s="2"/>
      <x:c r="F212" s="2"/>
      <x:c r="G212" s="2"/>
      <x:c r="H212" s="2"/>
    </x:row>
    <x:row r="213" ht="24" customHeight="1">
      <x:c r="A213" s="2" t="n">
        <x:v>218</x:v>
      </x:c>
      <x:c r="B213" s="7" t="n">
        <x:v>68</x:v>
      </x:c>
      <x:c r="C213" s="7" t="n">
        <x:v>81</x:v>
      </x:c>
      <x:c r="D213" s="11" t="n">
        <x:f>(B213+C213)/2</x:f>
        <x:v>74.5</x:v>
      </x:c>
      <x:c r="E213" s="2"/>
      <x:c r="F213" s="2"/>
      <x:c r="G213" s="2"/>
      <x:c r="H213" s="2"/>
    </x:row>
    <x:row r="214" ht="24" customHeight="1">
      <x:c r="A214" s="2" t="n">
        <x:v>219</x:v>
      </x:c>
      <x:c r="B214" s="7" t="n">
        <x:v>68</x:v>
      </x:c>
      <x:c r="C214" s="7" t="n">
        <x:v>81</x:v>
      </x:c>
      <x:c r="D214" s="11" t="n">
        <x:f>(B214+C214)/2</x:f>
        <x:v>74.5</x:v>
      </x:c>
      <x:c r="E214" s="2"/>
      <x:c r="F214" s="2"/>
      <x:c r="G214" s="2"/>
      <x:c r="H214" s="2"/>
    </x:row>
    <x:row r="215" ht="24" customHeight="1">
      <x:c r="A215" s="2" t="n">
        <x:v>220</x:v>
      </x:c>
      <x:c r="B215" s="7" t="n">
        <x:v>68</x:v>
      </x:c>
      <x:c r="C215" s="7" t="n">
        <x:v>81</x:v>
      </x:c>
      <x:c r="D215" s="11" t="n">
        <x:f>(B215+C215)/2</x:f>
        <x:v>74.5</x:v>
      </x:c>
      <x:c r="E215" s="2"/>
      <x:c r="F215" s="2"/>
      <x:c r="G215" s="2"/>
      <x:c r="H215" s="2"/>
    </x:row>
    <x:row r="216" ht="24" customHeight="1">
      <x:c r="A216" s="2" t="n">
        <x:v>221</x:v>
      </x:c>
      <x:c r="B216" s="7" t="n">
        <x:v>68</x:v>
      </x:c>
      <x:c r="C216" s="7" t="n">
        <x:v>81</x:v>
      </x:c>
      <x:c r="D216" s="11" t="n">
        <x:f>(B216+C216)/2</x:f>
        <x:v>74.5</x:v>
      </x:c>
      <x:c r="E216" s="2"/>
      <x:c r="F216" s="2"/>
      <x:c r="G216" s="2"/>
      <x:c r="H216" s="2"/>
    </x:row>
    <x:row r="217" ht="24" customHeight="1">
      <x:c r="A217" s="2" t="n">
        <x:v>222</x:v>
      </x:c>
      <x:c r="B217" s="7" t="n">
        <x:v>68</x:v>
      </x:c>
      <x:c r="C217" s="7" t="n">
        <x:v>81</x:v>
      </x:c>
      <x:c r="D217" s="11" t="n">
        <x:f>(B217+C217)/2</x:f>
        <x:v>74.5</x:v>
      </x:c>
      <x:c r="E217" s="2"/>
      <x:c r="F217" s="2"/>
      <x:c r="G217" s="2"/>
      <x:c r="H217" s="2"/>
    </x:row>
    <x:row r="218" ht="24" customHeight="1">
      <x:c r="A218" s="2" t="n">
        <x:v>223</x:v>
      </x:c>
      <x:c r="B218" s="7" t="n">
        <x:v>68</x:v>
      </x:c>
      <x:c r="C218" s="7" t="n">
        <x:v>81</x:v>
      </x:c>
      <x:c r="D218" s="11" t="n">
        <x:f>(B218+C218)/2</x:f>
        <x:v>74.5</x:v>
      </x:c>
      <x:c r="E218" s="2"/>
      <x:c r="F218" s="2"/>
      <x:c r="G218" s="2"/>
      <x:c r="H218" s="2"/>
    </x:row>
    <x:row r="219" ht="24" customHeight="1">
      <x:c r="A219" s="2" t="n">
        <x:v>224</x:v>
      </x:c>
      <x:c r="B219" s="7" t="n">
        <x:v>69</x:v>
      </x:c>
      <x:c r="C219" s="7" t="n">
        <x:v>81</x:v>
      </x:c>
      <x:c r="D219" s="11" t="n">
        <x:f>(B219+C219)/2</x:f>
        <x:v>75</x:v>
      </x:c>
      <x:c r="E219" s="2"/>
      <x:c r="F219" s="2"/>
      <x:c r="G219" s="2"/>
      <x:c r="H219" s="2"/>
    </x:row>
    <x:row r="220" ht="24" customHeight="1">
      <x:c r="A220" s="2" t="n">
        <x:v>225</x:v>
      </x:c>
      <x:c r="B220" s="7" t="n">
        <x:v>68</x:v>
      </x:c>
      <x:c r="C220" s="7" t="n">
        <x:v>81</x:v>
      </x:c>
      <x:c r="D220" s="11" t="n">
        <x:f>(B220+C220)/2</x:f>
        <x:v>74.5</x:v>
      </x:c>
      <x:c r="E220" s="2"/>
      <x:c r="F220" s="2"/>
      <x:c r="G220" s="2"/>
      <x:c r="H220" s="2"/>
    </x:row>
    <x:row r="221" ht="24" customHeight="1">
      <x:c r="A221" s="2" t="n">
        <x:v>226</x:v>
      </x:c>
      <x:c r="B221" s="7" t="n">
        <x:v>68</x:v>
      </x:c>
      <x:c r="C221" s="7" t="n">
        <x:v>81</x:v>
      </x:c>
      <x:c r="D221" s="11" t="n">
        <x:f>(B221+C221)/2</x:f>
        <x:v>74.5</x:v>
      </x:c>
      <x:c r="E221" s="2"/>
      <x:c r="F221" s="2"/>
      <x:c r="G221" s="2"/>
      <x:c r="H221" s="2"/>
    </x:row>
    <x:row r="222" ht="24" customHeight="1">
      <x:c r="A222" s="2" t="n">
        <x:v>227</x:v>
      </x:c>
      <x:c r="B222" s="7" t="n">
        <x:v>68</x:v>
      </x:c>
      <x:c r="C222" s="7" t="n">
        <x:v>81</x:v>
      </x:c>
      <x:c r="D222" s="11" t="n">
        <x:f>(B222+C222)/2</x:f>
        <x:v>74.5</x:v>
      </x:c>
      <x:c r="E222" s="2"/>
      <x:c r="F222" s="2"/>
      <x:c r="G222" s="2"/>
      <x:c r="H222" s="2"/>
    </x:row>
    <x:row r="223" ht="24" customHeight="1">
      <x:c r="A223" s="2" t="n">
        <x:v>228</x:v>
      </x:c>
      <x:c r="B223" s="7" t="n">
        <x:v>69</x:v>
      </x:c>
      <x:c r="C223" s="7" t="n">
        <x:v>81</x:v>
      </x:c>
      <x:c r="D223" s="11" t="n">
        <x:f>(B223+C223)/2</x:f>
        <x:v>75</x:v>
      </x:c>
      <x:c r="E223" s="2"/>
      <x:c r="F223" s="2"/>
      <x:c r="G223" s="2"/>
      <x:c r="H223" s="2"/>
    </x:row>
    <x:row r="224" ht="24" customHeight="1">
      <x:c r="A224" s="2" t="n">
        <x:v>229</x:v>
      </x:c>
      <x:c r="B224" s="7" t="n">
        <x:v>68</x:v>
      </x:c>
      <x:c r="C224" s="7" t="n">
        <x:v>81</x:v>
      </x:c>
      <x:c r="D224" s="11" t="n">
        <x:f>(B224+C224)/2</x:f>
        <x:v>74.5</x:v>
      </x:c>
      <x:c r="E224" s="2"/>
      <x:c r="F224" s="2"/>
      <x:c r="G224" s="2"/>
      <x:c r="H224" s="2"/>
    </x:row>
    <x:row r="225" ht="24" customHeight="1">
      <x:c r="A225" s="2" t="n">
        <x:v>230</x:v>
      </x:c>
      <x:c r="B225" s="7" t="n">
        <x:v>68</x:v>
      </x:c>
      <x:c r="C225" s="7" t="n">
        <x:v>81</x:v>
      </x:c>
      <x:c r="D225" s="11" t="n">
        <x:f>(B225+C225)/2</x:f>
        <x:v>74.5</x:v>
      </x:c>
      <x:c r="E225" s="2"/>
      <x:c r="F225" s="2"/>
      <x:c r="G225" s="2"/>
      <x:c r="H225" s="2"/>
    </x:row>
    <x:row r="226" ht="24" customHeight="1">
      <x:c r="A226" s="2" t="n">
        <x:v>231</x:v>
      </x:c>
      <x:c r="B226" s="7" t="n">
        <x:v>69</x:v>
      </x:c>
      <x:c r="C226" s="7" t="n">
        <x:v>81</x:v>
      </x:c>
      <x:c r="D226" s="11" t="n">
        <x:f>(B226+C226)/2</x:f>
        <x:v>75</x:v>
      </x:c>
      <x:c r="E226" s="2"/>
      <x:c r="F226" s="2"/>
      <x:c r="G226" s="2"/>
      <x:c r="H226" s="2"/>
    </x:row>
    <x:row r="227" ht="24" customHeight="1">
      <x:c r="A227" s="2" t="n">
        <x:v>232</x:v>
      </x:c>
      <x:c r="B227" s="7" t="n">
        <x:v>68</x:v>
      </x:c>
      <x:c r="C227" s="7" t="n">
        <x:v>81</x:v>
      </x:c>
      <x:c r="D227" s="11" t="n">
        <x:f>(B227+C227)/2</x:f>
        <x:v>74.5</x:v>
      </x:c>
      <x:c r="E227" s="2"/>
      <x:c r="F227" s="2"/>
      <x:c r="G227" s="2"/>
      <x:c r="H227" s="2"/>
    </x:row>
    <x:row r="228" ht="24" customHeight="1">
      <x:c r="A228" s="2" t="n">
        <x:v>233</x:v>
      </x:c>
      <x:c r="B228" s="7" t="n">
        <x:v>68</x:v>
      </x:c>
      <x:c r="C228" s="7" t="n">
        <x:v>81</x:v>
      </x:c>
      <x:c r="D228" s="11" t="n">
        <x:f>(B228+C228)/2</x:f>
        <x:v>74.5</x:v>
      </x:c>
      <x:c r="E228" s="2"/>
      <x:c r="F228" s="2"/>
      <x:c r="G228" s="2"/>
      <x:c r="H228" s="2"/>
    </x:row>
    <x:row r="229" ht="24" customHeight="1">
      <x:c r="A229" s="2" t="n">
        <x:v>234</x:v>
      </x:c>
      <x:c r="B229" s="7" t="n">
        <x:v>68</x:v>
      </x:c>
      <x:c r="C229" s="7" t="n">
        <x:v>81</x:v>
      </x:c>
      <x:c r="D229" s="11" t="n">
        <x:f>(B229+C229)/2</x:f>
        <x:v>74.5</x:v>
      </x:c>
      <x:c r="E229" s="2"/>
      <x:c r="F229" s="2"/>
      <x:c r="G229" s="2"/>
      <x:c r="H229" s="2"/>
    </x:row>
    <x:row r="230" ht="24" customHeight="1">
      <x:c r="A230" s="2" t="n">
        <x:v>235</x:v>
      </x:c>
      <x:c r="B230" s="7" t="n">
        <x:v>68</x:v>
      </x:c>
      <x:c r="C230" s="7" t="n">
        <x:v>81</x:v>
      </x:c>
      <x:c r="D230" s="11" t="n">
        <x:f>(B230+C230)/2</x:f>
        <x:v>74.5</x:v>
      </x:c>
      <x:c r="E230" s="2"/>
      <x:c r="F230" s="2"/>
      <x:c r="G230" s="2"/>
      <x:c r="H230" s="2"/>
    </x:row>
    <x:row r="231" ht="24" customHeight="1">
      <x:c r="A231" s="2" t="n">
        <x:v>236</x:v>
      </x:c>
      <x:c r="B231" s="7" t="n">
        <x:v>68</x:v>
      </x:c>
      <x:c r="C231" s="7" t="n">
        <x:v>81</x:v>
      </x:c>
      <x:c r="D231" s="11" t="n">
        <x:f>(B231+C231)/2</x:f>
        <x:v>74.5</x:v>
      </x:c>
      <x:c r="E231" s="2"/>
      <x:c r="F231" s="2"/>
      <x:c r="G231" s="2"/>
      <x:c r="H231" s="2"/>
    </x:row>
    <x:row r="232" ht="24" customHeight="1">
      <x:c r="A232" s="2" t="n">
        <x:v>237</x:v>
      </x:c>
      <x:c r="B232" s="7" t="n">
        <x:v>68</x:v>
      </x:c>
      <x:c r="C232" s="7" t="n">
        <x:v>81</x:v>
      </x:c>
      <x:c r="D232" s="11" t="n">
        <x:f>(B232+C232)/2</x:f>
        <x:v>74.5</x:v>
      </x:c>
      <x:c r="E232" s="2"/>
      <x:c r="F232" s="2"/>
      <x:c r="G232" s="2"/>
      <x:c r="H232" s="2"/>
    </x:row>
    <x:row r="233" ht="24" customHeight="1">
      <x:c r="A233" s="2" t="n">
        <x:v>238</x:v>
      </x:c>
      <x:c r="B233" s="7" t="n">
        <x:v>68</x:v>
      </x:c>
      <x:c r="C233" s="7" t="n">
        <x:v>81</x:v>
      </x:c>
      <x:c r="D233" s="11" t="n">
        <x:f>(B233+C233)/2</x:f>
        <x:v>74.5</x:v>
      </x:c>
      <x:c r="E233" s="2"/>
      <x:c r="F233" s="2"/>
      <x:c r="G233" s="2"/>
      <x:c r="H233" s="2"/>
    </x:row>
    <x:row r="234" ht="24" customHeight="1">
      <x:c r="A234" s="2" t="n">
        <x:v>239</x:v>
      </x:c>
      <x:c r="B234" s="7" t="n">
        <x:v>68</x:v>
      </x:c>
      <x:c r="C234" s="7" t="n">
        <x:v>81</x:v>
      </x:c>
      <x:c r="D234" s="11" t="n">
        <x:f>(B234+C234)/2</x:f>
        <x:v>74.5</x:v>
      </x:c>
      <x:c r="E234" s="2"/>
      <x:c r="F234" s="2"/>
      <x:c r="G234" s="2"/>
      <x:c r="H234" s="2"/>
    </x:row>
    <x:row r="235" ht="24" customHeight="1">
      <x:c r="A235" s="2" t="n">
        <x:v>240</x:v>
      </x:c>
      <x:c r="B235" s="7" t="n">
        <x:v>68</x:v>
      </x:c>
      <x:c r="C235" s="7" t="n">
        <x:v>81</x:v>
      </x:c>
      <x:c r="D235" s="11" t="n">
        <x:f>(B235+C235)/2</x:f>
        <x:v>74.5</x:v>
      </x:c>
      <x:c r="E235" s="2"/>
      <x:c r="F235" s="2"/>
      <x:c r="G235" s="2"/>
      <x:c r="H235" s="2"/>
    </x:row>
    <x:row r="236" ht="24" customHeight="1">
      <x:c r="A236" s="2" t="n">
        <x:v>241</x:v>
      </x:c>
      <x:c r="B236" s="7" t="n">
        <x:v>69</x:v>
      </x:c>
      <x:c r="C236" s="7" t="n">
        <x:v>81</x:v>
      </x:c>
      <x:c r="D236" s="11" t="n">
        <x:f>(B236+C236)/2</x:f>
        <x:v>75</x:v>
      </x:c>
      <x:c r="E236" s="2"/>
      <x:c r="F236" s="2"/>
      <x:c r="G236" s="2"/>
      <x:c r="H236" s="2"/>
    </x:row>
    <x:row r="237" ht="24" customHeight="1">
      <x:c r="A237" s="2" t="n">
        <x:v>242</x:v>
      </x:c>
      <x:c r="B237" s="7" t="n">
        <x:v>68</x:v>
      </x:c>
      <x:c r="C237" s="7" t="n">
        <x:v>81</x:v>
      </x:c>
      <x:c r="D237" s="11" t="n">
        <x:f>(B237+C237)/2</x:f>
        <x:v>74.5</x:v>
      </x:c>
      <x:c r="E237" s="2"/>
      <x:c r="F237" s="2"/>
      <x:c r="G237" s="2"/>
      <x:c r="H237" s="2"/>
    </x:row>
    <x:row r="238" ht="24" customHeight="1">
      <x:c r="A238" s="2" t="n">
        <x:v>243</x:v>
      </x:c>
      <x:c r="B238" s="7" t="n">
        <x:v>68</x:v>
      </x:c>
      <x:c r="C238" s="7" t="n">
        <x:v>81</x:v>
      </x:c>
      <x:c r="D238" s="11" t="n">
        <x:f>(B238+C238)/2</x:f>
        <x:v>74.5</x:v>
      </x:c>
      <x:c r="E238" s="2"/>
      <x:c r="F238" s="2"/>
      <x:c r="G238" s="2"/>
      <x:c r="H238" s="2"/>
    </x:row>
    <x:row r="239" ht="24" customHeight="1">
      <x:c r="A239" s="2" t="n">
        <x:v>244</x:v>
      </x:c>
      <x:c r="B239" s="7" t="n">
        <x:v>68</x:v>
      </x:c>
      <x:c r="C239" s="7" t="n">
        <x:v>81</x:v>
      </x:c>
      <x:c r="D239" s="11" t="n">
        <x:f>(B239+C239)/2</x:f>
        <x:v>74.5</x:v>
      </x:c>
      <x:c r="E239" s="2"/>
      <x:c r="F239" s="2"/>
      <x:c r="G239" s="2"/>
      <x:c r="H239" s="2"/>
    </x:row>
    <x:row r="240" ht="24" customHeight="1">
      <x:c r="A240" s="2" t="n">
        <x:v>245</x:v>
      </x:c>
      <x:c r="B240" s="7" t="n">
        <x:v>68</x:v>
      </x:c>
      <x:c r="C240" s="7" t="n">
        <x:v>81</x:v>
      </x:c>
      <x:c r="D240" s="11" t="n">
        <x:f>(B240+C240)/2</x:f>
        <x:v>74.5</x:v>
      </x:c>
      <x:c r="E240" s="2"/>
      <x:c r="F240" s="2"/>
      <x:c r="G240" s="2"/>
      <x:c r="H240" s="2"/>
    </x:row>
    <x:row r="241" ht="24" customHeight="1">
      <x:c r="A241" s="2" t="n">
        <x:v>246</x:v>
      </x:c>
      <x:c r="B241" s="7" t="n">
        <x:v>68</x:v>
      </x:c>
      <x:c r="C241" s="7" t="n">
        <x:v>81</x:v>
      </x:c>
      <x:c r="D241" s="11" t="n">
        <x:f>(B241+C241)/2</x:f>
        <x:v>74.5</x:v>
      </x:c>
      <x:c r="E241" s="2"/>
      <x:c r="F241" s="2"/>
      <x:c r="G241" s="2"/>
      <x:c r="H241" s="2"/>
    </x:row>
    <x:row r="242" ht="24" customHeight="1">
      <x:c r="A242" s="2" t="n">
        <x:v>247</x:v>
      </x:c>
      <x:c r="B242" s="7" t="n">
        <x:v>68</x:v>
      </x:c>
      <x:c r="C242" s="7" t="n">
        <x:v>81</x:v>
      </x:c>
      <x:c r="D242" s="11" t="n">
        <x:f>(B242+C242)/2</x:f>
        <x:v>74.5</x:v>
      </x:c>
      <x:c r="E242" s="2"/>
      <x:c r="F242" s="2"/>
      <x:c r="G242" s="2"/>
      <x:c r="H242" s="2"/>
    </x:row>
    <x:row r="243" ht="24" customHeight="1">
      <x:c r="A243" s="2" t="n">
        <x:v>248</x:v>
      </x:c>
      <x:c r="B243" s="7" t="n">
        <x:v>69</x:v>
      </x:c>
      <x:c r="C243" s="7" t="n">
        <x:v>81</x:v>
      </x:c>
      <x:c r="D243" s="11" t="n">
        <x:f>(B243+C243)/2</x:f>
        <x:v>75</x:v>
      </x:c>
      <x:c r="E243" s="2"/>
      <x:c r="F243" s="2"/>
      <x:c r="G243" s="2"/>
      <x:c r="H243" s="2"/>
    </x:row>
    <x:row r="244" ht="24" customHeight="1">
      <x:c r="A244" s="2" t="n">
        <x:v>249</x:v>
      </x:c>
      <x:c r="B244" s="7" t="n">
        <x:v>68</x:v>
      </x:c>
      <x:c r="C244" s="7" t="n">
        <x:v>81</x:v>
      </x:c>
      <x:c r="D244" s="11" t="n">
        <x:f>(B244+C244)/2</x:f>
        <x:v>74.5</x:v>
      </x:c>
      <x:c r="E244" s="2"/>
      <x:c r="F244" s="2"/>
      <x:c r="G244" s="2"/>
      <x:c r="H244" s="2"/>
    </x:row>
    <x:row r="245" ht="24" customHeight="1">
      <x:c r="A245" s="2" t="n">
        <x:v>250</x:v>
      </x:c>
      <x:c r="B245" s="7" t="n">
        <x:v>68</x:v>
      </x:c>
      <x:c r="C245" s="7" t="n">
        <x:v>81</x:v>
      </x:c>
      <x:c r="D245" s="11" t="n">
        <x:f>(B245+C245)/2</x:f>
        <x:v>74.5</x:v>
      </x:c>
      <x:c r="E245" s="2"/>
      <x:c r="F245" s="2"/>
      <x:c r="G245" s="2"/>
      <x:c r="H245" s="2"/>
    </x:row>
    <x:row r="246" ht="24" customHeight="1">
      <x:c r="A246" s="2" t="n">
        <x:v>251</x:v>
      </x:c>
      <x:c r="B246" s="7" t="n">
        <x:v>68</x:v>
      </x:c>
      <x:c r="C246" s="7" t="n">
        <x:v>81</x:v>
      </x:c>
      <x:c r="D246" s="11" t="n">
        <x:f>(B246+C246)/2</x:f>
        <x:v>74.5</x:v>
      </x:c>
      <x:c r="E246" s="2"/>
      <x:c r="F246" s="2"/>
      <x:c r="G246" s="2"/>
      <x:c r="H246" s="2"/>
    </x:row>
    <x:row r="247" ht="24" customHeight="1">
      <x:c r="A247" s="2" t="n">
        <x:v>252</x:v>
      </x:c>
      <x:c r="B247" s="7" t="n">
        <x:v>68</x:v>
      </x:c>
      <x:c r="C247" s="7" t="n">
        <x:v>81</x:v>
      </x:c>
      <x:c r="D247" s="11" t="n">
        <x:f>(B247+C247)/2</x:f>
        <x:v>74.5</x:v>
      </x:c>
      <x:c r="E247" s="2"/>
      <x:c r="F247" s="2"/>
      <x:c r="G247" s="2"/>
      <x:c r="H247" s="2"/>
    </x:row>
    <x:row r="248" ht="24" customHeight="1">
      <x:c r="A248" s="2" t="n">
        <x:v>253</x:v>
      </x:c>
      <x:c r="B248" s="7" t="n">
        <x:v>68</x:v>
      </x:c>
      <x:c r="C248" s="7" t="n">
        <x:v>81</x:v>
      </x:c>
      <x:c r="D248" s="11" t="n">
        <x:f>(B248+C248)/2</x:f>
        <x:v>74.5</x:v>
      </x:c>
      <x:c r="E248" s="2"/>
      <x:c r="F248" s="2"/>
      <x:c r="G248" s="2"/>
      <x:c r="H248" s="2"/>
    </x:row>
    <x:row r="249" ht="24" customHeight="1">
      <x:c r="A249" s="2" t="n">
        <x:v>254</x:v>
      </x:c>
      <x:c r="B249" s="7" t="n">
        <x:v>68</x:v>
      </x:c>
      <x:c r="C249" s="7" t="n">
        <x:v>81</x:v>
      </x:c>
      <x:c r="D249" s="11" t="n">
        <x:f>(B249+C249)/2</x:f>
        <x:v>74.5</x:v>
      </x:c>
      <x:c r="E249" s="2"/>
      <x:c r="F249" s="2"/>
      <x:c r="G249" s="2"/>
      <x:c r="H249" s="2"/>
    </x:row>
    <x:row r="250" ht="24" customHeight="1">
      <x:c r="A250" s="2" t="n">
        <x:v>255</x:v>
      </x:c>
      <x:c r="B250" s="7" t="n">
        <x:v>68</x:v>
      </x:c>
      <x:c r="C250" s="7" t="n">
        <x:v>81</x:v>
      </x:c>
      <x:c r="D250" s="11" t="n">
        <x:f>(B250+C250)/2</x:f>
        <x:v>74.5</x:v>
      </x:c>
      <x:c r="E250" s="2"/>
      <x:c r="F250" s="2"/>
      <x:c r="G250" s="2"/>
      <x:c r="H250" s="2"/>
    </x:row>
    <x:row r="251" ht="24" customHeight="1">
      <x:c r="A251" s="2" t="n">
        <x:v>256</x:v>
      </x:c>
      <x:c r="B251" s="7" t="n">
        <x:v>68</x:v>
      </x:c>
      <x:c r="C251" s="7" t="n">
        <x:v>81</x:v>
      </x:c>
      <x:c r="D251" s="11" t="n">
        <x:f>(B251+C251)/2</x:f>
        <x:v>74.5</x:v>
      </x:c>
      <x:c r="E251" s="2"/>
      <x:c r="F251" s="2"/>
      <x:c r="G251" s="2"/>
      <x:c r="H251" s="2"/>
    </x:row>
    <x:row r="252" ht="24" customHeight="1">
      <x:c r="A252" s="2" t="n">
        <x:v>257</x:v>
      </x:c>
      <x:c r="B252" s="7" t="n">
        <x:v>68</x:v>
      </x:c>
      <x:c r="C252" s="7" t="n">
        <x:v>81</x:v>
      </x:c>
      <x:c r="D252" s="11" t="n">
        <x:f>(B252+C252)/2</x:f>
        <x:v>74.5</x:v>
      </x:c>
      <x:c r="E252" s="2"/>
      <x:c r="F252" s="2"/>
      <x:c r="G252" s="2"/>
      <x:c r="H252" s="2"/>
    </x:row>
    <x:row r="253" ht="24" customHeight="1">
      <x:c r="A253" s="2" t="n">
        <x:v>258</x:v>
      </x:c>
      <x:c r="B253" s="7" t="n">
        <x:v>68</x:v>
      </x:c>
      <x:c r="C253" s="7" t="n">
        <x:v>81</x:v>
      </x:c>
      <x:c r="D253" s="11" t="n">
        <x:f>(B253+C253)/2</x:f>
        <x:v>74.5</x:v>
      </x:c>
      <x:c r="E253" s="2"/>
      <x:c r="F253" s="2"/>
      <x:c r="G253" s="2"/>
      <x:c r="H253" s="2"/>
    </x:row>
    <x:row r="254" ht="24" customHeight="1">
      <x:c r="A254" s="2" t="n">
        <x:v>259</x:v>
      </x:c>
      <x:c r="B254" s="7" t="n">
        <x:v>68</x:v>
      </x:c>
      <x:c r="C254" s="7" t="n">
        <x:v>81</x:v>
      </x:c>
      <x:c r="D254" s="11" t="n">
        <x:f>(B254+C254)/2</x:f>
        <x:v>74.5</x:v>
      </x:c>
      <x:c r="E254" s="2"/>
      <x:c r="F254" s="2"/>
      <x:c r="G254" s="2"/>
      <x:c r="H254" s="2"/>
    </x:row>
    <x:row r="255" ht="24" customHeight="1">
      <x:c r="A255" s="2" t="n">
        <x:v>260</x:v>
      </x:c>
      <x:c r="B255" s="7" t="n">
        <x:v>68</x:v>
      </x:c>
      <x:c r="C255" s="7" t="n">
        <x:v>81</x:v>
      </x:c>
      <x:c r="D255" s="11" t="n">
        <x:f>(B255+C255)/2</x:f>
        <x:v>74.5</x:v>
      </x:c>
      <x:c r="E255" s="2"/>
      <x:c r="F255" s="2"/>
      <x:c r="G255" s="2"/>
      <x:c r="H255" s="2"/>
    </x:row>
    <x:row r="256" ht="24" customHeight="1">
      <x:c r="A256" s="2" t="n">
        <x:v>261</x:v>
      </x:c>
      <x:c r="B256" s="7" t="n">
        <x:v>68</x:v>
      </x:c>
      <x:c r="C256" s="7" t="n">
        <x:v>81</x:v>
      </x:c>
      <x:c r="D256" s="11" t="n">
        <x:f>(B256+C256)/2</x:f>
        <x:v>74.5</x:v>
      </x:c>
      <x:c r="E256" s="2"/>
      <x:c r="F256" s="2"/>
      <x:c r="G256" s="2"/>
      <x:c r="H256" s="2"/>
    </x:row>
    <x:row r="257" ht="24" customHeight="1">
      <x:c r="A257" s="2" t="n">
        <x:v>262</x:v>
      </x:c>
      <x:c r="B257" s="7" t="n">
        <x:v>68</x:v>
      </x:c>
      <x:c r="C257" s="7" t="n">
        <x:v>81</x:v>
      </x:c>
      <x:c r="D257" s="11" t="n">
        <x:f>(B257+C257)/2</x:f>
        <x:v>74.5</x:v>
      </x:c>
      <x:c r="E257" s="2"/>
      <x:c r="F257" s="2"/>
      <x:c r="G257" s="2"/>
      <x:c r="H257" s="2"/>
    </x:row>
    <x:row r="258" ht="24" customHeight="1">
      <x:c r="A258" s="2" t="n">
        <x:v>263</x:v>
      </x:c>
      <x:c r="B258" s="7" t="n">
        <x:v>68</x:v>
      </x:c>
      <x:c r="C258" s="7" t="n">
        <x:v>81</x:v>
      </x:c>
      <x:c r="D258" s="11" t="n">
        <x:f>(B258+C258)/2</x:f>
        <x:v>74.5</x:v>
      </x:c>
      <x:c r="E258" s="2"/>
      <x:c r="F258" s="2"/>
      <x:c r="G258" s="2"/>
      <x:c r="H258" s="2"/>
    </x:row>
    <x:row r="259" ht="24" customHeight="1">
      <x:c r="A259" s="2" t="n">
        <x:v>264</x:v>
      </x:c>
      <x:c r="B259" s="7" t="n">
        <x:v>68</x:v>
      </x:c>
      <x:c r="C259" s="7" t="n">
        <x:v>81</x:v>
      </x:c>
      <x:c r="D259" s="11" t="n">
        <x:f>(B259+C259)/2</x:f>
        <x:v>74.5</x:v>
      </x:c>
      <x:c r="E259" s="2"/>
      <x:c r="F259" s="2"/>
      <x:c r="G259" s="2"/>
      <x:c r="H259" s="2"/>
    </x:row>
    <x:row r="260" ht="24" customHeight="1">
      <x:c r="A260" s="2" t="n">
        <x:v>265</x:v>
      </x:c>
      <x:c r="B260" s="7" t="n">
        <x:v>68</x:v>
      </x:c>
      <x:c r="C260" s="7" t="n">
        <x:v>81</x:v>
      </x:c>
      <x:c r="D260" s="11" t="n">
        <x:f>(B260+C260)/2</x:f>
        <x:v>74.5</x:v>
      </x:c>
      <x:c r="E260" s="2"/>
      <x:c r="F260" s="2"/>
      <x:c r="G260" s="2"/>
      <x:c r="H260" s="2"/>
    </x:row>
    <x:row r="261" ht="24" customHeight="1">
      <x:c r="A261" s="2" t="n">
        <x:v>266</x:v>
      </x:c>
      <x:c r="B261" s="7" t="n">
        <x:v>69</x:v>
      </x:c>
      <x:c r="C261" s="7" t="n">
        <x:v>81</x:v>
      </x:c>
      <x:c r="D261" s="11" t="n">
        <x:f>(B261+C261)/2</x:f>
        <x:v>75</x:v>
      </x:c>
      <x:c r="E261" s="2"/>
      <x:c r="F261" s="2"/>
      <x:c r="G261" s="2"/>
      <x:c r="H261" s="2"/>
    </x:row>
    <x:row r="262" ht="24" customHeight="1">
      <x:c r="A262" s="2" t="n">
        <x:v>267</x:v>
      </x:c>
      <x:c r="B262" s="7" t="n">
        <x:v>69</x:v>
      </x:c>
      <x:c r="C262" s="7" t="n">
        <x:v>81</x:v>
      </x:c>
      <x:c r="D262" s="11" t="n">
        <x:f>(B262+C262)/2</x:f>
        <x:v>75</x:v>
      </x:c>
      <x:c r="E262" s="2"/>
      <x:c r="F262" s="2"/>
      <x:c r="G262" s="2"/>
      <x:c r="H262" s="2"/>
    </x:row>
    <x:row r="263" ht="24" customHeight="1">
      <x:c r="A263" s="2" t="n">
        <x:v>268</x:v>
      </x:c>
      <x:c r="B263" s="7" t="n">
        <x:v>69</x:v>
      </x:c>
      <x:c r="C263" s="7" t="n">
        <x:v>81</x:v>
      </x:c>
      <x:c r="D263" s="11" t="n">
        <x:f>(B263+C263)/2</x:f>
        <x:v>75</x:v>
      </x:c>
      <x:c r="E263" s="2"/>
      <x:c r="F263" s="2"/>
      <x:c r="G263" s="2"/>
      <x:c r="H263" s="2"/>
    </x:row>
    <x:row r="264" ht="24" customHeight="1">
      <x:c r="A264" s="2" t="n">
        <x:v>269</x:v>
      </x:c>
      <x:c r="B264" s="7" t="n">
        <x:v>69</x:v>
      </x:c>
      <x:c r="C264" s="7" t="n">
        <x:v>81</x:v>
      </x:c>
      <x:c r="D264" s="11" t="n">
        <x:f>(B264+C264)/2</x:f>
        <x:v>75</x:v>
      </x:c>
      <x:c r="E264" s="2"/>
      <x:c r="F264" s="2"/>
      <x:c r="G264" s="2"/>
      <x:c r="H264" s="2"/>
    </x:row>
    <x:row r="265" ht="24" customHeight="1">
      <x:c r="A265" s="2" t="n">
        <x:v>270</x:v>
      </x:c>
      <x:c r="B265" s="7" t="n">
        <x:v>68</x:v>
      </x:c>
      <x:c r="C265" s="7" t="n">
        <x:v>81</x:v>
      </x:c>
      <x:c r="D265" s="11" t="n">
        <x:f>(B265+C265)/2</x:f>
        <x:v>74.5</x:v>
      </x:c>
      <x:c r="E265" s="2"/>
      <x:c r="F265" s="2"/>
      <x:c r="G265" s="2"/>
      <x:c r="H265" s="2"/>
    </x:row>
    <x:row r="266" ht="24" customHeight="1">
      <x:c r="A266" s="2" t="n">
        <x:v>271</x:v>
      </x:c>
      <x:c r="B266" s="7" t="n">
        <x:v>68</x:v>
      </x:c>
      <x:c r="C266" s="7" t="n">
        <x:v>81</x:v>
      </x:c>
      <x:c r="D266" s="11" t="n">
        <x:f>(B266+C266)/2</x:f>
        <x:v>74.5</x:v>
      </x:c>
      <x:c r="E266" s="2"/>
      <x:c r="F266" s="2"/>
      <x:c r="G266" s="2"/>
      <x:c r="H266" s="2"/>
    </x:row>
    <x:row r="267" ht="24" customHeight="1">
      <x:c r="A267" s="2" t="n">
        <x:v>272</x:v>
      </x:c>
      <x:c r="B267" s="7" t="n">
        <x:v>69</x:v>
      </x:c>
      <x:c r="C267" s="7" t="n">
        <x:v>81</x:v>
      </x:c>
      <x:c r="D267" s="11" t="n">
        <x:f>(B267+C267)/2</x:f>
        <x:v>75</x:v>
      </x:c>
      <x:c r="E267" s="2"/>
      <x:c r="F267" s="2"/>
      <x:c r="G267" s="2"/>
      <x:c r="H267" s="2"/>
    </x:row>
    <x:row r="268" ht="24" customHeight="1">
      <x:c r="A268" s="2" t="n">
        <x:v>273</x:v>
      </x:c>
      <x:c r="B268" s="7" t="n">
        <x:v>69</x:v>
      </x:c>
      <x:c r="C268" s="7" t="n">
        <x:v>81</x:v>
      </x:c>
      <x:c r="D268" s="11" t="n">
        <x:f>(B268+C268)/2</x:f>
        <x:v>75</x:v>
      </x:c>
      <x:c r="E268" s="2"/>
      <x:c r="F268" s="2"/>
      <x:c r="G268" s="2"/>
      <x:c r="H268" s="2"/>
    </x:row>
    <x:row r="269" ht="24" customHeight="1">
      <x:c r="A269" s="2" t="n">
        <x:v>274</x:v>
      </x:c>
      <x:c r="B269" s="7" t="n">
        <x:v>69</x:v>
      </x:c>
      <x:c r="C269" s="7" t="n">
        <x:v>81</x:v>
      </x:c>
      <x:c r="D269" s="11" t="n">
        <x:f>(B269+C269)/2</x:f>
        <x:v>75</x:v>
      </x:c>
      <x:c r="E269" s="2"/>
      <x:c r="F269" s="2"/>
      <x:c r="G269" s="2"/>
      <x:c r="H269" s="2"/>
    </x:row>
    <x:row r="270" ht="24" customHeight="1">
      <x:c r="A270" s="2" t="n">
        <x:v>275</x:v>
      </x:c>
      <x:c r="B270" s="7" t="n">
        <x:v>69</x:v>
      </x:c>
      <x:c r="C270" s="7" t="n">
        <x:v>81</x:v>
      </x:c>
      <x:c r="D270" s="11" t="n">
        <x:f>(B270+C270)/2</x:f>
        <x:v>75</x:v>
      </x:c>
      <x:c r="E270" s="2"/>
      <x:c r="F270" s="2"/>
      <x:c r="G270" s="2"/>
      <x:c r="H270" s="2"/>
    </x:row>
    <x:row r="271" ht="24" customHeight="1">
      <x:c r="A271" s="2" t="n">
        <x:v>276</x:v>
      </x:c>
      <x:c r="B271" s="7" t="n">
        <x:v>69</x:v>
      </x:c>
      <x:c r="C271" s="7" t="n">
        <x:v>81</x:v>
      </x:c>
      <x:c r="D271" s="11" t="n">
        <x:f>(B271+C271)/2</x:f>
        <x:v>75</x:v>
      </x:c>
      <x:c r="E271" s="2"/>
      <x:c r="F271" s="2"/>
      <x:c r="G271" s="2"/>
      <x:c r="H271" s="2"/>
    </x:row>
    <x:row r="272" ht="24" customHeight="1">
      <x:c r="A272" s="2" t="n">
        <x:v>277</x:v>
      </x:c>
      <x:c r="B272" s="7" t="n">
        <x:v>69</x:v>
      </x:c>
      <x:c r="C272" s="7" t="n">
        <x:v>81</x:v>
      </x:c>
      <x:c r="D272" s="11" t="n">
        <x:f>(B272+C272)/2</x:f>
        <x:v>75</x:v>
      </x:c>
      <x:c r="E272" s="2"/>
      <x:c r="F272" s="2"/>
      <x:c r="G272" s="2"/>
      <x:c r="H272" s="2"/>
    </x:row>
    <x:row r="273" ht="24" customHeight="1">
      <x:c r="A273" s="2" t="n">
        <x:v>278</x:v>
      </x:c>
      <x:c r="B273" s="7" t="n">
        <x:v>69</x:v>
      </x:c>
      <x:c r="C273" s="7" t="n">
        <x:v>81</x:v>
      </x:c>
      <x:c r="D273" s="11" t="n">
        <x:f>(B273+C273)/2</x:f>
        <x:v>75</x:v>
      </x:c>
      <x:c r="E273" s="2"/>
      <x:c r="F273" s="2"/>
      <x:c r="G273" s="2"/>
      <x:c r="H273" s="2"/>
    </x:row>
    <x:row r="274" ht="24" customHeight="1">
      <x:c r="A274" s="2" t="n">
        <x:v>279</x:v>
      </x:c>
      <x:c r="B274" s="7" t="n">
        <x:v>69</x:v>
      </x:c>
      <x:c r="C274" s="7" t="n">
        <x:v>81</x:v>
      </x:c>
      <x:c r="D274" s="11" t="n">
        <x:f>(B274+C274)/2</x:f>
        <x:v>75</x:v>
      </x:c>
      <x:c r="E274" s="2"/>
      <x:c r="F274" s="2"/>
      <x:c r="G274" s="2"/>
      <x:c r="H274" s="2"/>
    </x:row>
    <x:row r="275" ht="24" customHeight="1">
      <x:c r="A275" s="2" t="n">
        <x:v>280</x:v>
      </x:c>
      <x:c r="B275" s="7" t="n">
        <x:v>69</x:v>
      </x:c>
      <x:c r="C275" s="7" t="n">
        <x:v>81</x:v>
      </x:c>
      <x:c r="D275" s="11" t="n">
        <x:f>(B275+C275)/2</x:f>
        <x:v>75</x:v>
      </x:c>
      <x:c r="E275" s="2"/>
      <x:c r="F275" s="2"/>
      <x:c r="G275" s="2"/>
      <x:c r="H275" s="2"/>
    </x:row>
    <x:row r="276" ht="24" customHeight="1">
      <x:c r="A276" s="2" t="n">
        <x:v>281</x:v>
      </x:c>
      <x:c r="B276" s="7" t="n">
        <x:v>69</x:v>
      </x:c>
      <x:c r="C276" s="7" t="n">
        <x:v>81</x:v>
      </x:c>
      <x:c r="D276" s="11" t="n">
        <x:f>(B276+C276)/2</x:f>
        <x:v>75</x:v>
      </x:c>
      <x:c r="E276" s="2"/>
      <x:c r="F276" s="2"/>
      <x:c r="G276" s="2"/>
      <x:c r="H276" s="2"/>
    </x:row>
    <x:row r="277" ht="24" customHeight="1">
      <x:c r="A277" s="2" t="n">
        <x:v>282</x:v>
      </x:c>
      <x:c r="B277" s="7" t="n">
        <x:v>69</x:v>
      </x:c>
      <x:c r="C277" s="7" t="n">
        <x:v>81</x:v>
      </x:c>
      <x:c r="D277" s="11" t="n">
        <x:f>(B277+C277)/2</x:f>
        <x:v>75</x:v>
      </x:c>
      <x:c r="E277" s="2"/>
      <x:c r="F277" s="2"/>
      <x:c r="G277" s="2"/>
      <x:c r="H277" s="2"/>
    </x:row>
    <x:row r="278" ht="24" customHeight="1">
      <x:c r="A278" s="2" t="n">
        <x:v>283</x:v>
      </x:c>
      <x:c r="B278" s="7" t="n">
        <x:v>69</x:v>
      </x:c>
      <x:c r="C278" s="7" t="n">
        <x:v>81</x:v>
      </x:c>
      <x:c r="D278" s="11" t="n">
        <x:f>(B278+C278)/2</x:f>
        <x:v>75</x:v>
      </x:c>
      <x:c r="E278" s="2"/>
      <x:c r="F278" s="2"/>
      <x:c r="G278" s="2"/>
      <x:c r="H278" s="2"/>
    </x:row>
    <x:row r="279" ht="24" customHeight="1">
      <x:c r="A279" s="2" t="n">
        <x:v>284</x:v>
      </x:c>
      <x:c r="B279" s="7" t="n">
        <x:v>69</x:v>
      </x:c>
      <x:c r="C279" s="7" t="n">
        <x:v>81</x:v>
      </x:c>
      <x:c r="D279" s="11" t="n">
        <x:f>(B279+C279)/2</x:f>
        <x:v>75</x:v>
      </x:c>
      <x:c r="E279" s="2"/>
      <x:c r="F279" s="2"/>
      <x:c r="G279" s="2"/>
      <x:c r="H279" s="2"/>
    </x:row>
    <x:row r="280" ht="24" customHeight="1">
      <x:c r="A280" s="2" t="n">
        <x:v>285</x:v>
      </x:c>
      <x:c r="B280" s="7" t="n">
        <x:v>69</x:v>
      </x:c>
      <x:c r="C280" s="7" t="n">
        <x:v>81</x:v>
      </x:c>
      <x:c r="D280" s="11" t="n">
        <x:f>(B280+C280)/2</x:f>
        <x:v>75</x:v>
      </x:c>
      <x:c r="E280" s="2"/>
      <x:c r="F280" s="2"/>
      <x:c r="G280" s="2"/>
      <x:c r="H280" s="2"/>
    </x:row>
    <x:row r="281" ht="24" customHeight="1">
      <x:c r="A281" s="2" t="n">
        <x:v>286</x:v>
      </x:c>
      <x:c r="B281" s="7" t="n">
        <x:v>69</x:v>
      </x:c>
      <x:c r="C281" s="7" t="n">
        <x:v>81</x:v>
      </x:c>
      <x:c r="D281" s="11" t="n">
        <x:f>(B281+C281)/2</x:f>
        <x:v>75</x:v>
      </x:c>
      <x:c r="E281" s="2"/>
      <x:c r="F281" s="2"/>
      <x:c r="G281" s="2"/>
      <x:c r="H281" s="2"/>
    </x:row>
    <x:row r="282" ht="24" customHeight="1">
      <x:c r="A282" s="2" t="n">
        <x:v>287</x:v>
      </x:c>
      <x:c r="B282" s="7" t="n">
        <x:v>69</x:v>
      </x:c>
      <x:c r="C282" s="7" t="n">
        <x:v>81</x:v>
      </x:c>
      <x:c r="D282" s="11" t="n">
        <x:f>(B282+C282)/2</x:f>
        <x:v>75</x:v>
      </x:c>
      <x:c r="E282" s="2"/>
      <x:c r="F282" s="2"/>
      <x:c r="G282" s="2"/>
      <x:c r="H282" s="2"/>
    </x:row>
    <x:row r="283" ht="24" customHeight="1">
      <x:c r="A283" s="2" t="n">
        <x:v>288</x:v>
      </x:c>
      <x:c r="B283" s="7" t="n">
        <x:v>69</x:v>
      </x:c>
      <x:c r="C283" s="7" t="n">
        <x:v>81</x:v>
      </x:c>
      <x:c r="D283" s="11" t="n">
        <x:f>(B283+C283)/2</x:f>
        <x:v>75</x:v>
      </x:c>
      <x:c r="E283" s="2"/>
      <x:c r="F283" s="2"/>
      <x:c r="G283" s="2"/>
      <x:c r="H283" s="2"/>
    </x:row>
    <x:row r="284" ht="24" customHeight="1">
      <x:c r="A284" s="2" t="n">
        <x:v>289</x:v>
      </x:c>
      <x:c r="B284" s="7" t="n">
        <x:v>69</x:v>
      </x:c>
      <x:c r="C284" s="7" t="n">
        <x:v>81</x:v>
      </x:c>
      <x:c r="D284" s="11" t="n">
        <x:f>(B284+C284)/2</x:f>
        <x:v>75</x:v>
      </x:c>
      <x:c r="E284" s="2"/>
      <x:c r="F284" s="2"/>
      <x:c r="G284" s="2"/>
      <x:c r="H284" s="2"/>
    </x:row>
    <x:row r="285" ht="24" customHeight="1">
      <x:c r="A285" s="2" t="n">
        <x:v>290</x:v>
      </x:c>
      <x:c r="B285" s="7" t="n">
        <x:v>69</x:v>
      </x:c>
      <x:c r="C285" s="7" t="n">
        <x:v>81</x:v>
      </x:c>
      <x:c r="D285" s="11" t="n">
        <x:f>(B285+C285)/2</x:f>
        <x:v>75</x:v>
      </x:c>
      <x:c r="E285" s="2"/>
      <x:c r="F285" s="2"/>
      <x:c r="G285" s="2"/>
      <x:c r="H285" s="2"/>
    </x:row>
    <x:row r="286" ht="24" customHeight="1">
      <x:c r="A286" s="2" t="n">
        <x:v>291</x:v>
      </x:c>
      <x:c r="B286" s="7" t="n">
        <x:v>69</x:v>
      </x:c>
      <x:c r="C286" s="7" t="n">
        <x:v>81</x:v>
      </x:c>
      <x:c r="D286" s="11" t="n">
        <x:f>(B286+C286)/2</x:f>
        <x:v>75</x:v>
      </x:c>
      <x:c r="E286" s="2"/>
      <x:c r="F286" s="2"/>
      <x:c r="G286" s="2"/>
      <x:c r="H286" s="2"/>
    </x:row>
    <x:row r="287" ht="24" customHeight="1">
      <x:c r="A287" s="2" t="n">
        <x:v>292</x:v>
      </x:c>
      <x:c r="B287" s="7" t="n">
        <x:v>69</x:v>
      </x:c>
      <x:c r="C287" s="7" t="n">
        <x:v>81</x:v>
      </x:c>
      <x:c r="D287" s="11" t="n">
        <x:f>(B287+C287)/2</x:f>
        <x:v>75</x:v>
      </x:c>
      <x:c r="E287" s="2"/>
      <x:c r="F287" s="2"/>
      <x:c r="G287" s="2"/>
      <x:c r="H287" s="2"/>
    </x:row>
    <x:row r="288" ht="24" customHeight="1">
      <x:c r="A288" s="2" t="n">
        <x:v>293</x:v>
      </x:c>
      <x:c r="B288" s="7" t="n">
        <x:v>69</x:v>
      </x:c>
      <x:c r="C288" s="7" t="n">
        <x:v>81</x:v>
      </x:c>
      <x:c r="D288" s="11" t="n">
        <x:f>(B288+C288)/2</x:f>
        <x:v>75</x:v>
      </x:c>
      <x:c r="E288" s="2"/>
      <x:c r="F288" s="2"/>
      <x:c r="G288" s="2"/>
      <x:c r="H288" s="2"/>
    </x:row>
    <x:row r="289" ht="24" customHeight="1">
      <x:c r="A289" s="2" t="n">
        <x:v>294</x:v>
      </x:c>
      <x:c r="B289" s="7" t="n">
        <x:v>69</x:v>
      </x:c>
      <x:c r="C289" s="7" t="n">
        <x:v>81</x:v>
      </x:c>
      <x:c r="D289" s="11" t="n">
        <x:f>(B289+C289)/2</x:f>
        <x:v>75</x:v>
      </x:c>
      <x:c r="E289" s="2"/>
      <x:c r="F289" s="2"/>
      <x:c r="G289" s="2"/>
      <x:c r="H289" s="2"/>
    </x:row>
    <x:row r="290" ht="24" customHeight="1">
      <x:c r="A290" s="2" t="n">
        <x:v>295</x:v>
      </x:c>
      <x:c r="B290" s="7" t="n">
        <x:v>69</x:v>
      </x:c>
      <x:c r="C290" s="7" t="n">
        <x:v>81</x:v>
      </x:c>
      <x:c r="D290" s="11" t="n">
        <x:f>(B290+C290)/2</x:f>
        <x:v>75</x:v>
      </x:c>
      <x:c r="E290" s="2"/>
      <x:c r="F290" s="2"/>
      <x:c r="G290" s="2"/>
      <x:c r="H290" s="2"/>
    </x:row>
  </x:sheetData>
  <x:dataValidations count="1">
    <x:dataValidation type="list" sqref="B22">
      <x:formula1>"未确认,是,否"</x:formula1>
    </x:dataValidation>
  </x:dataValidations>
  <x:pageMargins left="0.7" right="0.7" top="0.75" bottom="0.75" header="0.3" footer="0.3"/>
  <x:drawing xmlns:r="http://schemas.openxmlformats.org/officeDocument/2006/relationships" r:id="R84494cf113534970"/>
  <x:tableParts count="1">
    <x:tablePart xmlns:r="http://schemas.openxmlformats.org/officeDocument/2006/relationships" r:id="Ra6a3f391c6c240a2"/>
  </x:tableParts>
</x:worksheet>
</file>